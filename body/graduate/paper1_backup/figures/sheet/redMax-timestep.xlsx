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hub_project\For_Chongyao\funannongwu\ConsManifold\sheet\"/>
    </mc:Choice>
  </mc:AlternateContent>
  <bookViews>
    <workbookView xWindow="0" yWindow="0" windowWidth="22710" windowHeight="1255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J6" i="1" l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<sst xmlns="http://schemas.openxmlformats.org/spreadsheetml/2006/main" count="5" uniqueCount="5">
  <si>
    <t>Force</t>
  </si>
  <si>
    <t>Stable</t>
  </si>
  <si>
    <t>Unstable</t>
  </si>
  <si>
    <t>bisection</t>
  </si>
  <si>
    <t>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</si>
</sst>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0" fontId="0" fillId="0" borderId="0" xfId="0" applyNumberForma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0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Sheet1!$A$1:$A$4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</c:numCache>
            </c:numRef>
          </c:xVal>
          <c:yVal>
            <c:numRef>
              <c:f>Sheet1!$B$1:$B$4</c:f>
              <c:numCache>
                <c:formatCode>General</c:formatCode>
                <c:ptCount val="4"/>
                <c:pt idx="0">
                  <c:v>0.23</c:v>
                </c:pt>
                <c:pt idx="1">
                  <c:v>3.4000000000000002E-2</c:v>
                </c:pt>
                <c:pt idx="2">
                  <c:v>4.0000000000000001E-3</c:v>
                </c:pt>
                <c:pt idx="3">
                  <c:v>2.5000000000000001E-3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C0-4DA5-9D6E-3BC58BEC5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154944"/>
        <c:axId val="412749067"/>
      </c:scatterChart>
      <c:valAx>
        <c:axId val="976154944"/>
        <c:scaling>
          <c:orientation val="minMax"/>
          <c:max val="120"/>
          <c:min val="0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2540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2749067"/>
        <c:crossesAt val="-0.56000000000000005"/>
        <c:crossBetween val="midCat"/>
        <c:majorUnit val="30"/>
      </c:valAx>
      <c:valAx>
        <c:axId val="412749067"/>
        <c:scaling>
          <c:logBase val="10"/>
          <c:orientation val="minMax"/>
          <c:max val="1"/>
          <c:min val="1E-3"/>
        </c:scaling>
        <c:delete val="0"/>
        <c:axPos val="l"/>
        <c:numFmt formatCode="0.00E+00" sourceLinked="0"/>
        <c:majorTickMark val="in"/>
        <c:minorTickMark val="none"/>
        <c:tickLblPos val="nextTo"/>
        <c:spPr>
          <a:ln w="2540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6154944"/>
        <c:crossesAt val="0"/>
        <c:crossBetween val="midCat"/>
        <c:majorUnit val="2.5000000000000001E-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 w="25400" cap="flat" cmpd="sng" algn="ctr">
      <a:noFill/>
      <a:prstDash val="solid"/>
      <a:round/>
    </a:ln>
  </c:spPr>
  <c:txPr>
    <a:bodyPr/>
    <a:lstStyle/>
    <a:p>
      <a:pPr>
        <a:defRPr lang="en-US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0"/>
          <c:tx>
            <c:v>Stable</c:v>
          </c:tx>
          <c:spPr>
            <a:ln w="19050" cap="rnd" cmpd="sng" algn="ctr">
              <a:solidFill>
                <a:srgbClr val="7030A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Sheet1!$F$2:$F$6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100</c:v>
                </c:pt>
              </c:numCache>
            </c:numRef>
          </c:xVal>
          <c:yVal>
            <c:numRef>
              <c:f>Sheet1!$G$2:$G$6</c:f>
              <c:numCache>
                <c:formatCode>General</c:formatCode>
                <c:ptCount val="5"/>
                <c:pt idx="0">
                  <c:v>0.6875</c:v>
                </c:pt>
                <c:pt idx="1">
                  <c:v>5.9374999999999997E-2</c:v>
                </c:pt>
                <c:pt idx="2">
                  <c:v>7.1875000000000003E-3</c:v>
                </c:pt>
                <c:pt idx="3">
                  <c:v>4.2500000000000003E-3</c:v>
                </c:pt>
                <c:pt idx="4">
                  <c:v>1.0937500000000001E-3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42C-4F44-8A1C-E7095AC38475}"/>
            </c:ext>
          </c:extLst>
        </c:ser>
        <c:ser>
          <c:idx val="0"/>
          <c:order val="1"/>
          <c:tx>
            <c:v>Unstable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Sheet1!$F$2:$F$6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100</c:v>
                </c:pt>
              </c:numCache>
            </c:numRef>
          </c:xVal>
          <c:yVal>
            <c:numRef>
              <c:f>Sheet1!$H$2:$H$6</c:f>
              <c:numCache>
                <c:formatCode>General</c:formatCode>
                <c:ptCount val="5"/>
                <c:pt idx="0">
                  <c:v>0.71875</c:v>
                </c:pt>
                <c:pt idx="1">
                  <c:v>6.25E-2</c:v>
                </c:pt>
                <c:pt idx="2">
                  <c:v>7.4999999999999997E-3</c:v>
                </c:pt>
                <c:pt idx="3">
                  <c:v>4.4999999999999997E-3</c:v>
                </c:pt>
                <c:pt idx="4">
                  <c:v>1.1875E-3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42C-4F44-8A1C-E7095AC38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154944"/>
        <c:axId val="412749067"/>
      </c:scatterChart>
      <c:valAx>
        <c:axId val="976154944"/>
        <c:scaling>
          <c:orientation val="minMax"/>
          <c:max val="120"/>
          <c:min val="0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2540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2749067"/>
        <c:crossesAt val="-0.56000000000000005"/>
        <c:crossBetween val="midCat"/>
        <c:majorUnit val="30"/>
      </c:valAx>
      <c:valAx>
        <c:axId val="412749067"/>
        <c:scaling>
          <c:logBase val="10"/>
          <c:orientation val="minMax"/>
          <c:max val="1"/>
          <c:min val="1E-3"/>
        </c:scaling>
        <c:delete val="0"/>
        <c:axPos val="l"/>
        <c:numFmt formatCode="0.00E+00" sourceLinked="0"/>
        <c:majorTickMark val="in"/>
        <c:minorTickMark val="none"/>
        <c:tickLblPos val="nextTo"/>
        <c:spPr>
          <a:ln w="2540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6154944"/>
        <c:crossesAt val="0"/>
        <c:crossBetween val="midCat"/>
        <c:majorUnit val="2.5000000000000001E-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72115437596266"/>
          <c:y val="9.7956509574462503E-2"/>
          <c:w val="0.12631198706783753"/>
          <c:h val="0.15963728435953892"/>
        </c:manualLayout>
      </c:layout>
      <c:overlay val="0"/>
    </c:legend>
    <c:plotVisOnly val="1"/>
    <c:dispBlanksAs val="gap"/>
    <c:showDLblsOverMax val="0"/>
  </c:chart>
  <c:spPr>
    <a:ln w="25400" cap="flat" cmpd="sng" algn="ctr">
      <a:noFill/>
      <a:prstDash val="solid"/>
      <a:round/>
    </a:ln>
  </c:spPr>
  <c:txPr>
    <a:bodyPr/>
    <a:lstStyle/>
    <a:p>
      <a:pPr>
        <a:defRPr lang="en-US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493850</xdr:colOff>
      <xdr:row>23</xdr:row>
      <xdr:rowOff>93178</xdr:rowOff>
    </xdr:from>
    <xdr:to>
      <xdr:col>11</xdr:col>
      <xdr:colOff>165238</xdr:colOff>
      <xdr:row>35</xdr:row>
      <xdr:rowOff>132521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646714</xdr:colOff>
      <xdr:row>1</xdr:row>
      <xdr:rowOff>162582</xdr:rowOff>
    </xdr:from>
    <xdr:to>
      <xdr:col>18</xdr:col>
      <xdr:colOff>449317</xdr:colOff>
      <xdr:row>17</xdr:row>
      <xdr:rowOff>144167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zoomScaleNormal="100" workbookViewId="0">
      <selection activeCell="Q20" sqref="Q20"/>
    </sheetView>
  </sheetViews>
  <sheetFormatPr defaultColWidth="9" defaultRowHeight="14.25" x14ac:dyDescent="0.2"/>
  <sheetData>
    <row r="1" spans="1:10" x14ac:dyDescent="0.2">
      <c r="A1">
        <v>10</v>
      </c>
      <c r="B1">
        <v>0.23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</row>
    <row r="2" spans="1:10" x14ac:dyDescent="0.2">
      <c r="A2">
        <v>25</v>
      </c>
      <c r="B2">
        <v>3.4000000000000002E-2</v>
      </c>
      <c r="F2" s="1">
        <v>10</v>
      </c>
      <c r="G2" s="1">
        <v>0.6875</v>
      </c>
      <c r="H2" s="1">
        <v>0.71875</v>
      </c>
      <c r="I2" s="1">
        <f t="shared" ref="I2:I6" si="0">0.5*G2+0.5*H2</f>
        <v>0.703125</v>
      </c>
      <c r="J2" s="2">
        <f t="shared" ref="J2:J6" si="1">(H2-G2)/G2</f>
        <v>4.5454545454545456E-2</v>
      </c>
    </row>
    <row r="3" spans="1:10" x14ac:dyDescent="0.2">
      <c r="A3">
        <v>50</v>
      </c>
      <c r="B3">
        <v>4.0000000000000001E-3</v>
      </c>
      <c r="F3" s="1">
        <v>20</v>
      </c>
      <c r="G3" s="1">
        <v>5.9374999999999997E-2</v>
      </c>
      <c r="H3" s="1">
        <v>6.25E-2</v>
      </c>
      <c r="I3" s="1">
        <f t="shared" si="0"/>
        <v>6.0937499999999999E-2</v>
      </c>
      <c r="J3" s="2">
        <f t="shared" si="1"/>
        <v>5.2631578947368474E-2</v>
      </c>
    </row>
    <row r="4" spans="1:10" x14ac:dyDescent="0.2">
      <c r="A4">
        <v>100</v>
      </c>
      <c r="B4">
        <v>2.5000000000000001E-3</v>
      </c>
      <c r="F4" s="1">
        <v>30</v>
      </c>
      <c r="G4" s="1">
        <v>7.1875000000000003E-3</v>
      </c>
      <c r="H4" s="1">
        <v>7.4999999999999997E-3</v>
      </c>
      <c r="I4" s="1">
        <f t="shared" si="0"/>
        <v>7.3437499999999996E-3</v>
      </c>
      <c r="J4" s="2">
        <f t="shared" si="1"/>
        <v>4.3478260869565133E-2</v>
      </c>
    </row>
    <row r="5" spans="1:10" x14ac:dyDescent="0.2">
      <c r="F5" s="1">
        <v>40</v>
      </c>
      <c r="G5" s="1">
        <v>4.2500000000000003E-3</v>
      </c>
      <c r="H5" s="1">
        <v>4.4999999999999997E-3</v>
      </c>
      <c r="I5" s="1">
        <f t="shared" si="0"/>
        <v>4.3750000000000004E-3</v>
      </c>
      <c r="J5" s="2">
        <f t="shared" si="1"/>
        <v>5.8823529411764552E-2</v>
      </c>
    </row>
    <row r="6" spans="1:10" x14ac:dyDescent="0.2">
      <c r="F6" s="1">
        <v>100</v>
      </c>
      <c r="G6" s="1">
        <v>1.0937500000000001E-3</v>
      </c>
      <c r="H6" s="1">
        <v>1.1875E-3</v>
      </c>
      <c r="I6" s="1">
        <f t="shared" si="0"/>
        <v>1.1406250000000001E-3</v>
      </c>
      <c r="J6" s="2">
        <f t="shared" si="1"/>
        <v>8.571428571428559E-2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chongyao</dc:creator>
  <cp:lastModifiedBy>ROG</cp:lastModifiedBy>
  <dcterms:created xsi:type="dcterms:W3CDTF">2022-08-08T03:37:00Z</dcterms:created>
  <dcterms:modified xsi:type="dcterms:W3CDTF">2022-08-19T17:18:30Z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1033-11.1.0.9711</vt:lpwstr>
  </property>
</Properties>
</file>