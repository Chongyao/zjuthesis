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5" windowHeight="137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<sst xmlns="http://schemas.openxmlformats.org/spreadsheetml/2006/main" count="46" uniqueCount="14">
  <si>
    <t>precondition</t>
  </si>
  <si>
    <t>num_segs/100</t>
  </si>
  <si>
    <t>total iter</t>
  </si>
  <si>
    <t>total time</t>
  </si>
  <si>
    <t>num</t>
  </si>
  <si>
    <t>total_fac</t>
  </si>
  <si>
    <t>average_iter</t>
  </si>
  <si>
    <t>average_time</t>
  </si>
  <si>
    <t>average fac time</t>
  </si>
  <si>
    <t>segments</t>
  </si>
  <si>
    <t>new</t>
  </si>
  <si>
    <t>block_diag</t>
  </si>
  <si>
    <t>explicit_diag</t>
  </si>
  <si>
    <r>
      <rPr>
        <sz val="11"/>
        <color rgb="FF000000"/>
        <rFont val="Calibri"/>
        <charset val="134"/>
        <scheme val="minor"/>
      </rPr>
      <t>dense Inv</t>
    </r>
    <r>
      <rPr>
        <sz val="11"/>
        <color rgb="FF000000"/>
        <rFont val="Calibri"/>
        <charset val="134"/>
        <scheme val="minor"/>
      </rPr>
      <t xml:space="preserve"> 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</si>
</sst>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17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5" fillId="32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0" fontId="21" fillId="0" borderId="7" applyNumberFormat="false" applyFill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0" fontId="4" fillId="2" borderId="0" applyNumberFormat="false" applyBorder="false" applyAlignment="false" applyProtection="false">
      <alignment vertical="center"/>
    </xf>
    <xf numFmtId="0" fontId="5" fillId="14" borderId="0" applyNumberFormat="false" applyBorder="false" applyAlignment="false" applyProtection="false">
      <alignment vertical="center"/>
    </xf>
    <xf numFmtId="0" fontId="19" fillId="19" borderId="0" applyNumberFormat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20" fillId="0" borderId="6" applyNumberFormat="false" applyFill="false" applyAlignment="false" applyProtection="false">
      <alignment vertical="center"/>
    </xf>
    <xf numFmtId="0" fontId="17" fillId="7" borderId="5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0" fillId="10" borderId="4" applyNumberFormat="false" applyFont="false" applyAlignment="false" applyProtection="false">
      <alignment vertical="center"/>
    </xf>
    <xf numFmtId="0" fontId="16" fillId="9" borderId="2" applyNumberFormat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3" fillId="7" borderId="2" applyNumberFormat="false" applyAlignment="false" applyProtection="false">
      <alignment vertical="center"/>
    </xf>
    <xf numFmtId="0" fontId="12" fillId="6" borderId="0" applyNumberFormat="false" applyBorder="false" applyAlignment="false" applyProtection="false">
      <alignment vertical="center"/>
    </xf>
    <xf numFmtId="0" fontId="14" fillId="0" borderId="8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9" fillId="0" borderId="1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6" fillId="0" borderId="1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5" fillId="8" borderId="3" applyNumberFormat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11" fontId="1" fillId="0" borderId="0" xfId="0" applyNumberFormat="true" applyFont="true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>
                <a:latin typeface="AR PL UMing TW MBE" panose="020B0309010101010101" charset="-122"/>
                <a:ea typeface="AR PL UMing TW MBE" panose="020B0309010101010101" charset="-122"/>
              </a:rPr>
              <a:t>average PCG iteration w.r.t number of segments</a:t>
            </a:r>
            <a:endParaRPr lang="en-US" altLang="en-US">
              <a:latin typeface="AR PL UMing TW MBE" panose="020B0309010101010101" charset="-122"/>
              <a:ea typeface="AR PL UMing TW MBE" panose="020B0309010101010101" charset="-122"/>
            </a:endParaRPr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"our"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cat>
            <c:numRef>
              <c:f>Sheet1!$J$2:$J$10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Sheet1!$G$2:$G$10</c:f>
              <c:numCache>
                <c:formatCode>General</c:formatCode>
                <c:ptCount val="9"/>
                <c:pt idx="0">
                  <c:v>10.7151515151515</c:v>
                </c:pt>
                <c:pt idx="1">
                  <c:v>10.0020202020202</c:v>
                </c:pt>
                <c:pt idx="2">
                  <c:v>9.98787878787879</c:v>
                </c:pt>
                <c:pt idx="3">
                  <c:v>9.93333333333333</c:v>
                </c:pt>
                <c:pt idx="4">
                  <c:v>9.85656565656566</c:v>
                </c:pt>
                <c:pt idx="5">
                  <c:v>9.82020202020202</c:v>
                </c:pt>
                <c:pt idx="6">
                  <c:v>9.72525252525253</c:v>
                </c:pt>
                <c:pt idx="7">
                  <c:v>9.63636363636364</c:v>
                </c:pt>
                <c:pt idx="8">
                  <c:v>9.54141414141414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"block diagonal"</c:f>
              <c:strCache>
                <c:ptCount val="1"/>
                <c:pt idx="0">
                  <c:v>block diagonal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true"/>
          </c:dLbls>
          <c:cat>
            <c:numRef>
              <c:f>Sheet1!$J$2:$J$10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Sheet1!$G$11:$G$19</c:f>
              <c:numCache>
                <c:formatCode>General</c:formatCode>
                <c:ptCount val="9"/>
                <c:pt idx="0">
                  <c:v>169.757575757576</c:v>
                </c:pt>
                <c:pt idx="1">
                  <c:v>336.212121212121</c:v>
                </c:pt>
                <c:pt idx="2">
                  <c:v>499.664646464646</c:v>
                </c:pt>
                <c:pt idx="3">
                  <c:v>660.028282828283</c:v>
                </c:pt>
                <c:pt idx="4">
                  <c:v>820.030303030303</c:v>
                </c:pt>
                <c:pt idx="5">
                  <c:v>978.549494949495</c:v>
                </c:pt>
                <c:pt idx="6">
                  <c:v>1135.86666666667</c:v>
                </c:pt>
                <c:pt idx="7">
                  <c:v>1292.86060606061</c:v>
                </c:pt>
                <c:pt idx="8">
                  <c:v>1449.67676767677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"diagonal"</c:f>
              <c:strCache>
                <c:ptCount val="1"/>
                <c:pt idx="0">
                  <c:v>diagonal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true"/>
          </c:dLbls>
          <c:cat>
            <c:numRef>
              <c:f>Sheet1!$J$2:$J$10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Sheet1!$G$20:$G$28</c:f>
              <c:numCache>
                <c:formatCode>General</c:formatCode>
                <c:ptCount val="9"/>
                <c:pt idx="0">
                  <c:v>328.886868686869</c:v>
                </c:pt>
                <c:pt idx="1">
                  <c:v>693.753535353535</c:v>
                </c:pt>
                <c:pt idx="2">
                  <c:v>1056.83232323232</c:v>
                </c:pt>
                <c:pt idx="3">
                  <c:v>1416.81616161616</c:v>
                </c:pt>
                <c:pt idx="4">
                  <c:v>1771.63232323232</c:v>
                </c:pt>
                <c:pt idx="5">
                  <c:v>2121.53131313131</c:v>
                </c:pt>
                <c:pt idx="6">
                  <c:v>2470.22828282828</c:v>
                </c:pt>
                <c:pt idx="7">
                  <c:v>2816.74343434343</c:v>
                </c:pt>
                <c:pt idx="8">
                  <c:v>3160.46262626263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37573488"/>
        <c:axId val="949165485"/>
      </c:lineChart>
      <c:catAx>
        <c:axId val="137573488"/>
        <c:scaling>
          <c:orientation val="minMax"/>
        </c:scaling>
        <c:delete val="false"/>
        <c:axPos val="b"/>
        <c:numFmt formatCode="General" sourceLinked="fals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9165485"/>
        <c:crosses val="autoZero"/>
        <c:auto val="true"/>
        <c:lblAlgn val="ctr"/>
        <c:lblOffset val="100"/>
        <c:noMultiLvlLbl val="false"/>
      </c:catAx>
      <c:valAx>
        <c:axId val="949165485"/>
        <c:scaling>
          <c:logBase val="10"/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Average PCG iterations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57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average PCG solve time w.r.t number of segments</a:t>
            </a:r>
            <a:endParaRPr lang="en-US" altLang="en-US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"our"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cat>
            <c:numRef>
              <c:f>Sheet1!$J$2:$J$10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Sheet1!$H$2:$H$10</c:f>
              <c:numCache>
                <c:formatCode>General</c:formatCode>
                <c:ptCount val="9"/>
                <c:pt idx="0">
                  <c:v>0.000251709090909091</c:v>
                </c:pt>
                <c:pt idx="1">
                  <c:v>0.000403555555555556</c:v>
                </c:pt>
                <c:pt idx="2">
                  <c:v>0.000531614141414141</c:v>
                </c:pt>
                <c:pt idx="3">
                  <c:v>0.000598175757575758</c:v>
                </c:pt>
                <c:pt idx="4">
                  <c:v>0.000672779797979798</c:v>
                </c:pt>
                <c:pt idx="5">
                  <c:v>0.000781393939393939</c:v>
                </c:pt>
                <c:pt idx="6">
                  <c:v>0.000854573737373739</c:v>
                </c:pt>
                <c:pt idx="7">
                  <c:v>0.000964678787878786</c:v>
                </c:pt>
                <c:pt idx="8">
                  <c:v>0.00104934343434343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"block diagonal"</c:f>
              <c:strCache>
                <c:ptCount val="1"/>
                <c:pt idx="0">
                  <c:v>block diagonal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true"/>
          </c:dLbls>
          <c:cat>
            <c:numRef>
              <c:f>Sheet1!$J$2:$J$10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Sheet1!$H$11:$H$19</c:f>
              <c:numCache>
                <c:formatCode>General</c:formatCode>
                <c:ptCount val="9"/>
                <c:pt idx="0">
                  <c:v>0.00429576565656566</c:v>
                </c:pt>
                <c:pt idx="1">
                  <c:v>0.0119443373737374</c:v>
                </c:pt>
                <c:pt idx="2">
                  <c:v>0.0206420343434343</c:v>
                </c:pt>
                <c:pt idx="3">
                  <c:v>0.0330576727272727</c:v>
                </c:pt>
                <c:pt idx="4">
                  <c:v>0.0472475090909091</c:v>
                </c:pt>
                <c:pt idx="5">
                  <c:v>0.0602033111111111</c:v>
                </c:pt>
                <c:pt idx="6">
                  <c:v>0.0739013575757576</c:v>
                </c:pt>
                <c:pt idx="7">
                  <c:v>0.0975943010101008</c:v>
                </c:pt>
                <c:pt idx="8">
                  <c:v>0.115082490909091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"diagonal"</c:f>
              <c:strCache>
                <c:ptCount val="1"/>
                <c:pt idx="0">
                  <c:v>diagonal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true"/>
          </c:dLbls>
          <c:cat>
            <c:numRef>
              <c:f>Sheet1!$J$2:$J$10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Sheet1!$H$20:$H$28</c:f>
              <c:numCache>
                <c:formatCode>General</c:formatCode>
                <c:ptCount val="9"/>
                <c:pt idx="0">
                  <c:v>0.00715174343434343</c:v>
                </c:pt>
                <c:pt idx="1">
                  <c:v>0.0247202909090909</c:v>
                </c:pt>
                <c:pt idx="2">
                  <c:v>0.0430519171717172</c:v>
                </c:pt>
                <c:pt idx="3">
                  <c:v>0.065718898989899</c:v>
                </c:pt>
                <c:pt idx="4">
                  <c:v>0.0942798141414141</c:v>
                </c:pt>
                <c:pt idx="5">
                  <c:v>0.122668226262626</c:v>
                </c:pt>
                <c:pt idx="6">
                  <c:v>0.160516953535354</c:v>
                </c:pt>
                <c:pt idx="7">
                  <c:v>0.202397149494949</c:v>
                </c:pt>
                <c:pt idx="8">
                  <c:v>0.242894183838384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"dense factorize"</c:f>
              <c:strCache>
                <c:ptCount val="1"/>
                <c:pt idx="0">
                  <c:v>dense factorize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true"/>
          </c:dLbls>
          <c:cat>
            <c:numRef>
              <c:f>Sheet1!$J$2:$J$10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Sheet1!$H$29:$H$37</c:f>
              <c:numCache>
                <c:formatCode>General</c:formatCode>
                <c:ptCount val="9"/>
                <c:pt idx="0">
                  <c:v>0.00261323232323232</c:v>
                </c:pt>
                <c:pt idx="1">
                  <c:v>0.00877296363636364</c:v>
                </c:pt>
                <c:pt idx="2">
                  <c:v>0.021141397979798</c:v>
                </c:pt>
                <c:pt idx="3">
                  <c:v>0.0412600808080808</c:v>
                </c:pt>
                <c:pt idx="4">
                  <c:v>0.0716326262626263</c:v>
                </c:pt>
                <c:pt idx="5">
                  <c:v>0.110890191919192</c:v>
                </c:pt>
                <c:pt idx="6">
                  <c:v>0.161903286868687</c:v>
                </c:pt>
                <c:pt idx="7">
                  <c:v>0.23923844040404</c:v>
                </c:pt>
                <c:pt idx="8">
                  <c:v>0.315388143434343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37573488"/>
        <c:axId val="949165485"/>
      </c:lineChart>
      <c:catAx>
        <c:axId val="137573488"/>
        <c:scaling>
          <c:orientation val="minMax"/>
        </c:scaling>
        <c:delete val="false"/>
        <c:axPos val="b"/>
        <c:numFmt formatCode="General" sourceLinked="fals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9165485"/>
        <c:crosses val="autoZero"/>
        <c:auto val="true"/>
        <c:lblAlgn val="ctr"/>
        <c:lblOffset val="100"/>
        <c:noMultiLvlLbl val="false"/>
      </c:catAx>
      <c:valAx>
        <c:axId val="949165485"/>
        <c:scaling>
          <c:logBase val="10"/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Average PCG iterations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57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average time of constructing preconditioner w.r.t number of segments</a:t>
            </a:r>
            <a:endParaRPr lang="en-US" altLang="en-US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"our"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true"/>
          </c:dLbls>
          <c:cat>
            <c:numRef>
              <c:f>Sheet1!$J$2:$J$10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Sheet1!$I$2:$I$10</c:f>
              <c:numCache>
                <c:formatCode>General</c:formatCode>
                <c:ptCount val="9"/>
                <c:pt idx="0">
                  <c:v>9.84909090909091e-5</c:v>
                </c:pt>
                <c:pt idx="1">
                  <c:v>0.0001614</c:v>
                </c:pt>
                <c:pt idx="2">
                  <c:v>0.000238563636363636</c:v>
                </c:pt>
                <c:pt idx="3">
                  <c:v>0.000299044444444444</c:v>
                </c:pt>
                <c:pt idx="4">
                  <c:v>0.000346840404040404</c:v>
                </c:pt>
                <c:pt idx="5">
                  <c:v>0.000438628282828283</c:v>
                </c:pt>
                <c:pt idx="6">
                  <c:v>0.000490177777777778</c:v>
                </c:pt>
                <c:pt idx="7">
                  <c:v>0.000574919191919192</c:v>
                </c:pt>
                <c:pt idx="8">
                  <c:v>0.000626907070707071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"block diagonal"</c:f>
              <c:strCache>
                <c:ptCount val="1"/>
                <c:pt idx="0">
                  <c:v>block diagonal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true"/>
          </c:dLbls>
          <c:cat>
            <c:numRef>
              <c:f>Sheet1!$J$2:$J$10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Sheet1!$I$11:$I$19</c:f>
              <c:numCache>
                <c:formatCode>General</c:formatCode>
                <c:ptCount val="9"/>
                <c:pt idx="0">
                  <c:v>6.53171717171717e-5</c:v>
                </c:pt>
                <c:pt idx="1">
                  <c:v>0.000121555555555556</c:v>
                </c:pt>
                <c:pt idx="2">
                  <c:v>0.000177672727272727</c:v>
                </c:pt>
                <c:pt idx="3">
                  <c:v>0.000220931313131313</c:v>
                </c:pt>
                <c:pt idx="4">
                  <c:v>0.000271761616161616</c:v>
                </c:pt>
                <c:pt idx="5">
                  <c:v>0.000310935353535354</c:v>
                </c:pt>
                <c:pt idx="6">
                  <c:v>0.000355587878787879</c:v>
                </c:pt>
                <c:pt idx="7">
                  <c:v>0.000440561616161616</c:v>
                </c:pt>
                <c:pt idx="8">
                  <c:v>0.000474418181818182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"diagonal"</c:f>
              <c:strCache>
                <c:ptCount val="1"/>
                <c:pt idx="0">
                  <c:v>diagonal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true"/>
          </c:dLbls>
          <c:cat>
            <c:numRef>
              <c:f>Sheet1!$J$2:$J$10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Sheet1!$I$20:$I$28</c:f>
              <c:numCache>
                <c:formatCode>General</c:formatCode>
                <c:ptCount val="9"/>
                <c:pt idx="0">
                  <c:v>6.29393939393939e-5</c:v>
                </c:pt>
                <c:pt idx="1">
                  <c:v>0.000123713131313131</c:v>
                </c:pt>
                <c:pt idx="2">
                  <c:v>0.000171842424242424</c:v>
                </c:pt>
                <c:pt idx="3">
                  <c:v>0.000217444444444444</c:v>
                </c:pt>
                <c:pt idx="4">
                  <c:v>0.000282737373737374</c:v>
                </c:pt>
                <c:pt idx="5">
                  <c:v>0.000307377777777778</c:v>
                </c:pt>
                <c:pt idx="6">
                  <c:v>0.000371957575757576</c:v>
                </c:pt>
                <c:pt idx="7">
                  <c:v>0.000422989898989899</c:v>
                </c:pt>
                <c:pt idx="8">
                  <c:v>0.000465773737373737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"dense factorize"</c:f>
              <c:strCache>
                <c:ptCount val="1"/>
                <c:pt idx="0">
                  <c:v>dense factorize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true"/>
          </c:dLbls>
          <c:cat>
            <c:numRef>
              <c:f>Sheet1!$J$2:$J$10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Sheet1!$I$29:$I$37</c:f>
              <c:numCache>
                <c:formatCode>General</c:formatCode>
                <c:ptCount val="9"/>
                <c:pt idx="0">
                  <c:v>0.00893180202020202</c:v>
                </c:pt>
                <c:pt idx="1">
                  <c:v>0.023367898989899</c:v>
                </c:pt>
                <c:pt idx="2">
                  <c:v>0.0416998565656566</c:v>
                </c:pt>
                <c:pt idx="3">
                  <c:v>0.0639003252525253</c:v>
                </c:pt>
                <c:pt idx="4">
                  <c:v>0.0887282424242424</c:v>
                </c:pt>
                <c:pt idx="5">
                  <c:v>0.116691713131313</c:v>
                </c:pt>
                <c:pt idx="6">
                  <c:v>0.155478454545455</c:v>
                </c:pt>
                <c:pt idx="7">
                  <c:v>0.193164161616162</c:v>
                </c:pt>
                <c:pt idx="8">
                  <c:v>0.234219333333333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37573488"/>
        <c:axId val="949165485"/>
      </c:lineChart>
      <c:catAx>
        <c:axId val="137573488"/>
        <c:scaling>
          <c:orientation val="minMax"/>
        </c:scaling>
        <c:delete val="false"/>
        <c:axPos val="b"/>
        <c:numFmt formatCode="General" sourceLinked="fals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9165485"/>
        <c:crosses val="autoZero"/>
        <c:auto val="true"/>
        <c:lblAlgn val="ctr"/>
        <c:lblOffset val="100"/>
        <c:noMultiLvlLbl val="false"/>
      </c:catAx>
      <c:valAx>
        <c:axId val="949165485"/>
        <c:scaling>
          <c:logBase val="10"/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Average PCG iterations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57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31115</xdr:colOff>
      <xdr:row>0</xdr:row>
      <xdr:rowOff>130175</xdr:rowOff>
    </xdr:from>
    <xdr:to>
      <xdr:col>15</xdr:col>
      <xdr:colOff>316865</xdr:colOff>
      <xdr:row>14</xdr:row>
      <xdr:rowOff>73025</xdr:rowOff>
    </xdr:to>
    <xdr:graphicFrame>
      <xdr:nvGraphicFramePr>
        <xdr:cNvPr id="10" name="Chart 9"/>
        <xdr:cNvGraphicFramePr/>
      </xdr:nvGraphicFramePr>
      <xdr:xfrm>
        <a:off x="10401935" y="1301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15</xdr:row>
      <xdr:rowOff>99695</xdr:rowOff>
    </xdr:from>
    <xdr:to>
      <xdr:col>15</xdr:col>
      <xdr:colOff>352425</xdr:colOff>
      <xdr:row>29</xdr:row>
      <xdr:rowOff>42545</xdr:rowOff>
    </xdr:to>
    <xdr:graphicFrame>
      <xdr:nvGraphicFramePr>
        <xdr:cNvPr id="11" name="Chart 10"/>
        <xdr:cNvGraphicFramePr/>
      </xdr:nvGraphicFramePr>
      <xdr:xfrm>
        <a:off x="10437495" y="310007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454660</xdr:colOff>
      <xdr:row>0</xdr:row>
      <xdr:rowOff>121920</xdr:rowOff>
    </xdr:from>
    <xdr:to>
      <xdr:col>20</xdr:col>
      <xdr:colOff>568960</xdr:colOff>
      <xdr:row>14</xdr:row>
      <xdr:rowOff>64770</xdr:rowOff>
    </xdr:to>
    <xdr:graphicFrame>
      <xdr:nvGraphicFramePr>
        <xdr:cNvPr id="12" name="Chart 11"/>
        <xdr:cNvGraphicFramePr/>
      </xdr:nvGraphicFramePr>
      <xdr:xfrm>
        <a:off x="15111730" y="121920"/>
        <a:ext cx="44005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1"/>
  <sheetViews>
    <sheetView tabSelected="1" workbookViewId="0">
      <selection activeCell="H12" sqref="H12"/>
    </sheetView>
  </sheetViews>
  <sheetFormatPr defaultColWidth="9" defaultRowHeight="15.75"/>
  <cols>
    <col min="1" max="1" width="12.5" customWidth="true"/>
    <col min="2" max="2" width="11.6266666666667" customWidth="true"/>
    <col min="6" max="6" width="9.25333333333333"/>
    <col min="7" max="7" width="13.1266666666667" customWidth="true"/>
    <col min="8" max="8" width="12.5"/>
    <col min="9" max="9" width="13.8733333333333" customWidth="true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31">
      <c r="A2" s="1" t="s">
        <v>10</v>
      </c>
      <c r="B2" s="1">
        <v>1</v>
      </c>
      <c r="C2" s="1">
        <v>5304</v>
      </c>
      <c r="D2">
        <v>0.124596</v>
      </c>
      <c r="E2">
        <v>495</v>
      </c>
      <c r="F2" s="1">
        <v>0.048753</v>
      </c>
      <c r="G2" s="1">
        <f>C2/E2</f>
        <v>10.7151515151515</v>
      </c>
      <c r="H2">
        <f>D2/E2</f>
        <v>0.000251709090909091</v>
      </c>
      <c r="I2">
        <f>F2/E2</f>
        <v>9.84909090909091e-5</v>
      </c>
      <c r="J2">
        <f>B2*100</f>
        <v>100</v>
      </c>
      <c r="Z2" s="1"/>
      <c r="AA2" s="3"/>
      <c r="AB2" s="3"/>
      <c r="AC2" s="1"/>
      <c r="AD2" s="3"/>
      <c r="AE2" s="3"/>
    </row>
    <row r="3" spans="1:31">
      <c r="A3" s="1" t="s">
        <v>10</v>
      </c>
      <c r="B3" s="1">
        <v>2</v>
      </c>
      <c r="C3" s="1">
        <v>4951</v>
      </c>
      <c r="D3">
        <v>0.19976</v>
      </c>
      <c r="E3">
        <v>495</v>
      </c>
      <c r="F3" s="1">
        <v>0.079893</v>
      </c>
      <c r="G3" s="1">
        <f t="shared" ref="G3:G28" si="0">C3/E3</f>
        <v>10.0020202020202</v>
      </c>
      <c r="H3">
        <f t="shared" ref="H3:H28" si="1">D3/E3</f>
        <v>0.000403555555555556</v>
      </c>
      <c r="I3">
        <f t="shared" ref="I3:I28" si="2">F3/E3</f>
        <v>0.0001614</v>
      </c>
      <c r="J3">
        <f t="shared" ref="J3:J28" si="3">B3*100</f>
        <v>200</v>
      </c>
      <c r="Z3" s="1"/>
      <c r="AA3" s="3"/>
      <c r="AB3" s="3"/>
      <c r="AC3" s="1"/>
      <c r="AD3" s="3"/>
      <c r="AE3" s="3"/>
    </row>
    <row r="4" spans="1:31">
      <c r="A4" s="1" t="s">
        <v>10</v>
      </c>
      <c r="B4" s="1">
        <v>3</v>
      </c>
      <c r="C4" s="1">
        <v>4944</v>
      </c>
      <c r="D4">
        <v>0.263149</v>
      </c>
      <c r="E4">
        <v>495</v>
      </c>
      <c r="F4" s="1">
        <v>0.118089</v>
      </c>
      <c r="G4" s="1">
        <f t="shared" si="0"/>
        <v>9.98787878787879</v>
      </c>
      <c r="H4">
        <f t="shared" si="1"/>
        <v>0.000531614141414141</v>
      </c>
      <c r="I4">
        <f t="shared" si="2"/>
        <v>0.000238563636363636</v>
      </c>
      <c r="J4">
        <f t="shared" si="3"/>
        <v>300</v>
      </c>
      <c r="Z4" s="1"/>
      <c r="AA4" s="3"/>
      <c r="AB4" s="3"/>
      <c r="AC4" s="1"/>
      <c r="AD4" s="3"/>
      <c r="AE4" s="3"/>
    </row>
    <row r="5" spans="1:31">
      <c r="A5" s="1" t="s">
        <v>10</v>
      </c>
      <c r="B5" s="1">
        <v>4</v>
      </c>
      <c r="C5" s="1">
        <v>4917</v>
      </c>
      <c r="D5">
        <v>0.296097</v>
      </c>
      <c r="E5">
        <v>495</v>
      </c>
      <c r="F5" s="1">
        <v>0.148027</v>
      </c>
      <c r="G5" s="1">
        <f t="shared" si="0"/>
        <v>9.93333333333333</v>
      </c>
      <c r="H5">
        <f t="shared" si="1"/>
        <v>0.000598175757575758</v>
      </c>
      <c r="I5">
        <f t="shared" si="2"/>
        <v>0.000299044444444444</v>
      </c>
      <c r="J5">
        <f t="shared" si="3"/>
        <v>400</v>
      </c>
      <c r="Z5" s="1"/>
      <c r="AA5" s="3"/>
      <c r="AB5" s="3"/>
      <c r="AC5" s="1"/>
      <c r="AD5" s="3"/>
      <c r="AE5" s="3"/>
    </row>
    <row r="6" spans="1:31">
      <c r="A6" s="1" t="s">
        <v>10</v>
      </c>
      <c r="B6" s="1">
        <v>5</v>
      </c>
      <c r="C6" s="1">
        <v>4879</v>
      </c>
      <c r="D6">
        <v>0.333026</v>
      </c>
      <c r="E6">
        <v>495</v>
      </c>
      <c r="F6" s="1">
        <v>0.171686</v>
      </c>
      <c r="G6" s="1">
        <f t="shared" si="0"/>
        <v>9.85656565656566</v>
      </c>
      <c r="H6">
        <f t="shared" si="1"/>
        <v>0.000672779797979798</v>
      </c>
      <c r="I6">
        <f t="shared" si="2"/>
        <v>0.000346840404040404</v>
      </c>
      <c r="J6">
        <f t="shared" si="3"/>
        <v>500</v>
      </c>
      <c r="Z6" s="1"/>
      <c r="AA6" s="3"/>
      <c r="AB6" s="3"/>
      <c r="AC6" s="1"/>
      <c r="AD6" s="3"/>
      <c r="AE6" s="3"/>
    </row>
    <row r="7" spans="1:31">
      <c r="A7" s="1" t="s">
        <v>10</v>
      </c>
      <c r="B7" s="1">
        <v>6</v>
      </c>
      <c r="C7" s="1">
        <v>4861</v>
      </c>
      <c r="D7">
        <v>0.38679</v>
      </c>
      <c r="E7">
        <v>495</v>
      </c>
      <c r="F7" s="1">
        <v>0.217121</v>
      </c>
      <c r="G7" s="1">
        <f t="shared" si="0"/>
        <v>9.82020202020202</v>
      </c>
      <c r="H7">
        <f t="shared" si="1"/>
        <v>0.000781393939393939</v>
      </c>
      <c r="I7">
        <f t="shared" si="2"/>
        <v>0.000438628282828283</v>
      </c>
      <c r="J7">
        <f t="shared" si="3"/>
        <v>600</v>
      </c>
      <c r="Z7" s="1"/>
      <c r="AA7" s="3"/>
      <c r="AB7" s="3"/>
      <c r="AC7" s="1"/>
      <c r="AD7" s="3"/>
      <c r="AE7" s="3"/>
    </row>
    <row r="8" spans="1:31">
      <c r="A8" s="1" t="s">
        <v>10</v>
      </c>
      <c r="B8" s="1">
        <v>7</v>
      </c>
      <c r="C8" s="1">
        <v>4814</v>
      </c>
      <c r="D8">
        <v>0.423014000000001</v>
      </c>
      <c r="E8">
        <v>495</v>
      </c>
      <c r="F8" s="1">
        <v>0.242638</v>
      </c>
      <c r="G8" s="1">
        <f t="shared" si="0"/>
        <v>9.72525252525253</v>
      </c>
      <c r="H8">
        <f t="shared" si="1"/>
        <v>0.000854573737373739</v>
      </c>
      <c r="I8">
        <f t="shared" si="2"/>
        <v>0.000490177777777778</v>
      </c>
      <c r="J8">
        <f t="shared" si="3"/>
        <v>700</v>
      </c>
      <c r="Z8" s="1"/>
      <c r="AA8" s="3"/>
      <c r="AB8" s="3"/>
      <c r="AC8" s="1"/>
      <c r="AD8" s="3"/>
      <c r="AE8" s="3"/>
    </row>
    <row r="9" spans="1:31">
      <c r="A9" s="1" t="s">
        <v>10</v>
      </c>
      <c r="B9" s="1">
        <v>8</v>
      </c>
      <c r="C9" s="1">
        <v>4770</v>
      </c>
      <c r="D9">
        <v>0.477515999999999</v>
      </c>
      <c r="E9">
        <v>495</v>
      </c>
      <c r="F9" s="1">
        <v>0.284585</v>
      </c>
      <c r="G9" s="1">
        <f t="shared" si="0"/>
        <v>9.63636363636364</v>
      </c>
      <c r="H9">
        <f t="shared" si="1"/>
        <v>0.000964678787878786</v>
      </c>
      <c r="I9">
        <f t="shared" si="2"/>
        <v>0.000574919191919192</v>
      </c>
      <c r="J9">
        <f t="shared" si="3"/>
        <v>800</v>
      </c>
      <c r="Z9" s="1"/>
      <c r="AA9" s="3"/>
      <c r="AB9" s="3"/>
      <c r="AC9" s="1"/>
      <c r="AD9" s="3"/>
      <c r="AE9" s="3"/>
    </row>
    <row r="10" spans="1:31">
      <c r="A10" s="1" t="s">
        <v>10</v>
      </c>
      <c r="B10" s="1">
        <v>9</v>
      </c>
      <c r="C10" s="1">
        <v>4723</v>
      </c>
      <c r="D10">
        <v>0.519425</v>
      </c>
      <c r="E10">
        <v>495</v>
      </c>
      <c r="F10" s="1">
        <v>0.310319</v>
      </c>
      <c r="G10" s="1">
        <f t="shared" si="0"/>
        <v>9.54141414141414</v>
      </c>
      <c r="H10">
        <f t="shared" si="1"/>
        <v>0.00104934343434343</v>
      </c>
      <c r="I10">
        <f t="shared" si="2"/>
        <v>0.000626907070707071</v>
      </c>
      <c r="J10">
        <f t="shared" si="3"/>
        <v>900</v>
      </c>
      <c r="Z10" s="1"/>
      <c r="AA10" s="3"/>
      <c r="AB10" s="3"/>
      <c r="AC10" s="1"/>
      <c r="AD10" s="3"/>
      <c r="AE10" s="3"/>
    </row>
    <row r="11" spans="1:31">
      <c r="A11" t="s">
        <v>11</v>
      </c>
      <c r="B11">
        <v>1</v>
      </c>
      <c r="C11">
        <v>84030</v>
      </c>
      <c r="D11">
        <v>2.126404</v>
      </c>
      <c r="E11">
        <v>495</v>
      </c>
      <c r="F11">
        <v>0.032332</v>
      </c>
      <c r="G11" s="1">
        <f t="shared" si="0"/>
        <v>169.757575757576</v>
      </c>
      <c r="H11">
        <f t="shared" si="1"/>
        <v>0.00429576565656566</v>
      </c>
      <c r="I11">
        <f t="shared" si="2"/>
        <v>6.53171717171717e-5</v>
      </c>
      <c r="J11">
        <f t="shared" si="3"/>
        <v>100</v>
      </c>
      <c r="Z11" s="1"/>
      <c r="AA11" s="3"/>
      <c r="AB11" s="3"/>
      <c r="AC11" s="1"/>
      <c r="AD11" s="3"/>
      <c r="AE11" s="3"/>
    </row>
    <row r="12" spans="1:31">
      <c r="A12" t="s">
        <v>11</v>
      </c>
      <c r="B12">
        <v>2</v>
      </c>
      <c r="C12">
        <v>166425</v>
      </c>
      <c r="D12">
        <v>5.912447</v>
      </c>
      <c r="E12">
        <v>495</v>
      </c>
      <c r="F12">
        <v>0.0601700000000001</v>
      </c>
      <c r="G12" s="1">
        <f t="shared" si="0"/>
        <v>336.212121212121</v>
      </c>
      <c r="H12">
        <f t="shared" si="1"/>
        <v>0.0119443373737374</v>
      </c>
      <c r="I12">
        <f t="shared" si="2"/>
        <v>0.000121555555555556</v>
      </c>
      <c r="J12">
        <f t="shared" si="3"/>
        <v>200</v>
      </c>
      <c r="Z12" s="1"/>
      <c r="AA12" s="3"/>
      <c r="AB12" s="3"/>
      <c r="AC12" s="1"/>
      <c r="AD12" s="3"/>
      <c r="AE12" s="3"/>
    </row>
    <row r="13" spans="1:31">
      <c r="A13" t="s">
        <v>11</v>
      </c>
      <c r="B13">
        <v>3</v>
      </c>
      <c r="C13">
        <v>247334</v>
      </c>
      <c r="D13">
        <v>10.217807</v>
      </c>
      <c r="E13">
        <v>495</v>
      </c>
      <c r="F13">
        <v>0.0879480000000001</v>
      </c>
      <c r="G13" s="1">
        <f t="shared" si="0"/>
        <v>499.664646464646</v>
      </c>
      <c r="H13">
        <f t="shared" si="1"/>
        <v>0.0206420343434343</v>
      </c>
      <c r="I13">
        <f t="shared" si="2"/>
        <v>0.000177672727272727</v>
      </c>
      <c r="J13">
        <f t="shared" si="3"/>
        <v>300</v>
      </c>
      <c r="Z13" s="1"/>
      <c r="AA13" s="3"/>
      <c r="AB13" s="3"/>
      <c r="AC13" s="1"/>
      <c r="AD13" s="3"/>
      <c r="AE13" s="3"/>
    </row>
    <row r="14" spans="1:31">
      <c r="A14" t="s">
        <v>11</v>
      </c>
      <c r="B14">
        <v>4</v>
      </c>
      <c r="C14">
        <v>326714</v>
      </c>
      <c r="D14">
        <v>16.363548</v>
      </c>
      <c r="E14">
        <v>495</v>
      </c>
      <c r="F14">
        <v>0.109361</v>
      </c>
      <c r="G14" s="1">
        <f t="shared" si="0"/>
        <v>660.028282828283</v>
      </c>
      <c r="H14">
        <f t="shared" si="1"/>
        <v>0.0330576727272727</v>
      </c>
      <c r="I14">
        <f t="shared" si="2"/>
        <v>0.000220931313131313</v>
      </c>
      <c r="J14">
        <f t="shared" si="3"/>
        <v>400</v>
      </c>
      <c r="Z14" s="1"/>
      <c r="AA14" s="3"/>
      <c r="AB14" s="3"/>
      <c r="AC14" s="1"/>
      <c r="AD14" s="3"/>
      <c r="AE14" s="3"/>
    </row>
    <row r="15" spans="1:31">
      <c r="A15" t="s">
        <v>11</v>
      </c>
      <c r="B15">
        <v>5</v>
      </c>
      <c r="C15">
        <v>405915</v>
      </c>
      <c r="D15">
        <v>23.387517</v>
      </c>
      <c r="E15">
        <v>495</v>
      </c>
      <c r="F15">
        <v>0.134522</v>
      </c>
      <c r="G15" s="1">
        <f t="shared" si="0"/>
        <v>820.030303030303</v>
      </c>
      <c r="H15">
        <f t="shared" si="1"/>
        <v>0.0472475090909091</v>
      </c>
      <c r="I15">
        <f t="shared" si="2"/>
        <v>0.000271761616161616</v>
      </c>
      <c r="J15">
        <f t="shared" si="3"/>
        <v>500</v>
      </c>
      <c r="Z15" s="1"/>
      <c r="AA15" s="3"/>
      <c r="AB15" s="3"/>
      <c r="AC15" s="1"/>
      <c r="AD15" s="3"/>
      <c r="AE15" s="3"/>
    </row>
    <row r="16" spans="1:31">
      <c r="A16" t="s">
        <v>11</v>
      </c>
      <c r="B16">
        <v>6</v>
      </c>
      <c r="C16">
        <v>484382</v>
      </c>
      <c r="D16">
        <v>29.800639</v>
      </c>
      <c r="E16">
        <v>495</v>
      </c>
      <c r="F16">
        <v>0.153913</v>
      </c>
      <c r="G16" s="1">
        <f t="shared" si="0"/>
        <v>978.549494949495</v>
      </c>
      <c r="H16">
        <f t="shared" si="1"/>
        <v>0.0602033111111111</v>
      </c>
      <c r="I16">
        <f t="shared" si="2"/>
        <v>0.000310935353535354</v>
      </c>
      <c r="J16">
        <f t="shared" si="3"/>
        <v>600</v>
      </c>
      <c r="Z16" s="1"/>
      <c r="AA16" s="3"/>
      <c r="AB16" s="3"/>
      <c r="AC16" s="1"/>
      <c r="AD16" s="3"/>
      <c r="AE16" s="3"/>
    </row>
    <row r="17" spans="1:31">
      <c r="A17" t="s">
        <v>11</v>
      </c>
      <c r="B17">
        <v>7</v>
      </c>
      <c r="C17">
        <v>562254</v>
      </c>
      <c r="D17">
        <v>36.581172</v>
      </c>
      <c r="E17">
        <v>495</v>
      </c>
      <c r="F17">
        <v>0.176016</v>
      </c>
      <c r="G17" s="1">
        <f t="shared" si="0"/>
        <v>1135.86666666667</v>
      </c>
      <c r="H17">
        <f t="shared" si="1"/>
        <v>0.0739013575757576</v>
      </c>
      <c r="I17">
        <f t="shared" si="2"/>
        <v>0.000355587878787879</v>
      </c>
      <c r="J17">
        <f t="shared" si="3"/>
        <v>700</v>
      </c>
      <c r="Z17" s="1"/>
      <c r="AA17" s="3"/>
      <c r="AB17" s="3"/>
      <c r="AC17" s="1"/>
      <c r="AD17" s="3"/>
      <c r="AE17" s="3"/>
    </row>
    <row r="18" spans="1:31">
      <c r="A18" t="s">
        <v>11</v>
      </c>
      <c r="B18">
        <v>8</v>
      </c>
      <c r="C18">
        <v>639966</v>
      </c>
      <c r="D18">
        <v>48.3091789999999</v>
      </c>
      <c r="E18">
        <v>495</v>
      </c>
      <c r="F18">
        <v>0.218078</v>
      </c>
      <c r="G18" s="1">
        <f t="shared" si="0"/>
        <v>1292.86060606061</v>
      </c>
      <c r="H18">
        <f t="shared" si="1"/>
        <v>0.0975943010101008</v>
      </c>
      <c r="I18">
        <f t="shared" si="2"/>
        <v>0.000440561616161616</v>
      </c>
      <c r="J18">
        <f t="shared" si="3"/>
        <v>800</v>
      </c>
      <c r="Z18" s="1"/>
      <c r="AA18" s="3"/>
      <c r="AB18" s="3"/>
      <c r="AC18" s="1"/>
      <c r="AD18" s="3"/>
      <c r="AE18" s="3"/>
    </row>
    <row r="19" spans="1:31">
      <c r="A19" t="s">
        <v>11</v>
      </c>
      <c r="B19">
        <v>9</v>
      </c>
      <c r="C19">
        <v>717590</v>
      </c>
      <c r="D19">
        <v>56.965833</v>
      </c>
      <c r="E19">
        <v>495</v>
      </c>
      <c r="F19">
        <v>0.234837</v>
      </c>
      <c r="G19" s="1">
        <f t="shared" si="0"/>
        <v>1449.67676767677</v>
      </c>
      <c r="H19">
        <f t="shared" si="1"/>
        <v>0.115082490909091</v>
      </c>
      <c r="I19">
        <f t="shared" si="2"/>
        <v>0.000474418181818182</v>
      </c>
      <c r="J19">
        <f t="shared" si="3"/>
        <v>900</v>
      </c>
      <c r="Z19" s="1"/>
      <c r="AA19" s="3"/>
      <c r="AB19" s="3"/>
      <c r="AC19" s="1"/>
      <c r="AD19" s="3"/>
      <c r="AE19" s="3"/>
    </row>
    <row r="20" spans="1:31">
      <c r="A20" t="s">
        <v>12</v>
      </c>
      <c r="B20">
        <v>1</v>
      </c>
      <c r="C20">
        <v>162799</v>
      </c>
      <c r="D20">
        <v>3.540113</v>
      </c>
      <c r="E20">
        <v>495</v>
      </c>
      <c r="F20">
        <v>0.031155</v>
      </c>
      <c r="G20" s="1">
        <f t="shared" si="0"/>
        <v>328.886868686869</v>
      </c>
      <c r="H20">
        <f t="shared" si="1"/>
        <v>0.00715174343434343</v>
      </c>
      <c r="I20">
        <f t="shared" si="2"/>
        <v>6.29393939393939e-5</v>
      </c>
      <c r="J20">
        <f t="shared" si="3"/>
        <v>100</v>
      </c>
      <c r="Z20" s="1"/>
      <c r="AA20" s="3"/>
      <c r="AB20" s="3"/>
      <c r="AC20" s="1"/>
      <c r="AD20" s="3"/>
      <c r="AE20" s="3"/>
    </row>
    <row r="21" spans="1:31">
      <c r="A21" t="s">
        <v>12</v>
      </c>
      <c r="B21">
        <v>2</v>
      </c>
      <c r="C21">
        <v>343408</v>
      </c>
      <c r="D21">
        <v>12.236544</v>
      </c>
      <c r="E21">
        <v>495</v>
      </c>
      <c r="F21">
        <v>0.061238</v>
      </c>
      <c r="G21" s="1">
        <f t="shared" si="0"/>
        <v>693.753535353535</v>
      </c>
      <c r="H21">
        <f t="shared" si="1"/>
        <v>0.0247202909090909</v>
      </c>
      <c r="I21">
        <f t="shared" si="2"/>
        <v>0.000123713131313131</v>
      </c>
      <c r="J21">
        <f t="shared" si="3"/>
        <v>200</v>
      </c>
      <c r="Z21" s="1"/>
      <c r="AA21" s="3"/>
      <c r="AB21" s="3"/>
      <c r="AC21" s="1"/>
      <c r="AD21" s="3"/>
      <c r="AE21" s="3"/>
    </row>
    <row r="22" spans="1:31">
      <c r="A22" t="s">
        <v>12</v>
      </c>
      <c r="B22">
        <v>3</v>
      </c>
      <c r="C22">
        <v>523132</v>
      </c>
      <c r="D22">
        <v>21.310699</v>
      </c>
      <c r="E22">
        <v>495</v>
      </c>
      <c r="F22">
        <v>0.085062</v>
      </c>
      <c r="G22" s="1">
        <f t="shared" si="0"/>
        <v>1056.83232323232</v>
      </c>
      <c r="H22">
        <f t="shared" si="1"/>
        <v>0.0430519171717172</v>
      </c>
      <c r="I22">
        <f t="shared" si="2"/>
        <v>0.000171842424242424</v>
      </c>
      <c r="J22">
        <f t="shared" si="3"/>
        <v>300</v>
      </c>
      <c r="Z22" s="1"/>
      <c r="AA22" s="3"/>
      <c r="AB22" s="3"/>
      <c r="AC22" s="1"/>
      <c r="AD22" s="3"/>
      <c r="AE22" s="3"/>
    </row>
    <row r="23" spans="1:31">
      <c r="A23" t="s">
        <v>12</v>
      </c>
      <c r="B23">
        <v>4</v>
      </c>
      <c r="C23">
        <v>701324</v>
      </c>
      <c r="D23">
        <v>32.530855</v>
      </c>
      <c r="E23">
        <v>495</v>
      </c>
      <c r="F23">
        <v>0.107635</v>
      </c>
      <c r="G23" s="1">
        <f t="shared" si="0"/>
        <v>1416.81616161616</v>
      </c>
      <c r="H23">
        <f t="shared" si="1"/>
        <v>0.065718898989899</v>
      </c>
      <c r="I23">
        <f t="shared" si="2"/>
        <v>0.000217444444444444</v>
      </c>
      <c r="J23">
        <f t="shared" si="3"/>
        <v>400</v>
      </c>
      <c r="Z23" s="1"/>
      <c r="AA23" s="3"/>
      <c r="AB23" s="3"/>
      <c r="AC23" s="1"/>
      <c r="AD23" s="3"/>
      <c r="AE23" s="3"/>
    </row>
    <row r="24" spans="1:31">
      <c r="A24" t="s">
        <v>12</v>
      </c>
      <c r="B24">
        <v>5</v>
      </c>
      <c r="C24">
        <v>876958</v>
      </c>
      <c r="D24">
        <v>46.668508</v>
      </c>
      <c r="E24">
        <v>495</v>
      </c>
      <c r="F24">
        <v>0.139955</v>
      </c>
      <c r="G24" s="1">
        <f t="shared" si="0"/>
        <v>1771.63232323232</v>
      </c>
      <c r="H24">
        <f t="shared" si="1"/>
        <v>0.0942798141414141</v>
      </c>
      <c r="I24">
        <f t="shared" si="2"/>
        <v>0.000282737373737374</v>
      </c>
      <c r="J24">
        <f t="shared" si="3"/>
        <v>500</v>
      </c>
      <c r="Z24" s="1"/>
      <c r="AA24" s="3"/>
      <c r="AB24" s="3"/>
      <c r="AC24" s="1"/>
      <c r="AD24" s="3"/>
      <c r="AE24" s="3"/>
    </row>
    <row r="25" spans="1:31">
      <c r="A25" t="s">
        <v>12</v>
      </c>
      <c r="B25">
        <v>6</v>
      </c>
      <c r="C25">
        <v>1050158</v>
      </c>
      <c r="D25">
        <v>60.720772</v>
      </c>
      <c r="E25">
        <v>495</v>
      </c>
      <c r="F25">
        <v>0.152152</v>
      </c>
      <c r="G25" s="1">
        <f t="shared" si="0"/>
        <v>2121.53131313131</v>
      </c>
      <c r="H25">
        <f t="shared" si="1"/>
        <v>0.122668226262626</v>
      </c>
      <c r="I25">
        <f t="shared" si="2"/>
        <v>0.000307377777777778</v>
      </c>
      <c r="J25">
        <f t="shared" si="3"/>
        <v>600</v>
      </c>
      <c r="Z25" s="1"/>
      <c r="AA25" s="3"/>
      <c r="AB25" s="3"/>
      <c r="AC25" s="1"/>
      <c r="AD25" s="3"/>
      <c r="AE25" s="3"/>
    </row>
    <row r="26" spans="1:31">
      <c r="A26" t="s">
        <v>12</v>
      </c>
      <c r="B26">
        <v>7</v>
      </c>
      <c r="C26">
        <v>1222763</v>
      </c>
      <c r="D26">
        <v>79.4558920000001</v>
      </c>
      <c r="E26">
        <v>495</v>
      </c>
      <c r="F26">
        <v>0.184119</v>
      </c>
      <c r="G26" s="1">
        <f t="shared" si="0"/>
        <v>2470.22828282828</v>
      </c>
      <c r="H26">
        <f t="shared" si="1"/>
        <v>0.160516953535354</v>
      </c>
      <c r="I26">
        <f t="shared" si="2"/>
        <v>0.000371957575757576</v>
      </c>
      <c r="J26">
        <f t="shared" si="3"/>
        <v>700</v>
      </c>
      <c r="Z26" s="1"/>
      <c r="AA26" s="3"/>
      <c r="AB26" s="3"/>
      <c r="AC26" s="1"/>
      <c r="AD26" s="3"/>
      <c r="AE26" s="3"/>
    </row>
    <row r="27" spans="1:31">
      <c r="A27" t="s">
        <v>12</v>
      </c>
      <c r="B27">
        <v>8</v>
      </c>
      <c r="C27">
        <v>1394288</v>
      </c>
      <c r="D27">
        <v>100.186589</v>
      </c>
      <c r="E27">
        <v>495</v>
      </c>
      <c r="F27">
        <v>0.20938</v>
      </c>
      <c r="G27" s="1">
        <f t="shared" si="0"/>
        <v>2816.74343434343</v>
      </c>
      <c r="H27">
        <f t="shared" si="1"/>
        <v>0.202397149494949</v>
      </c>
      <c r="I27">
        <f t="shared" si="2"/>
        <v>0.000422989898989899</v>
      </c>
      <c r="J27">
        <f t="shared" si="3"/>
        <v>800</v>
      </c>
      <c r="Z27" s="1"/>
      <c r="AA27" s="3"/>
      <c r="AB27" s="3"/>
      <c r="AC27" s="1"/>
      <c r="AD27" s="3"/>
      <c r="AE27" s="3"/>
    </row>
    <row r="28" spans="1:31">
      <c r="A28" t="s">
        <v>12</v>
      </c>
      <c r="B28">
        <v>9</v>
      </c>
      <c r="C28">
        <v>1564429</v>
      </c>
      <c r="D28">
        <v>120.232621</v>
      </c>
      <c r="E28">
        <v>495</v>
      </c>
      <c r="F28">
        <v>0.230558</v>
      </c>
      <c r="G28" s="1">
        <f t="shared" si="0"/>
        <v>3160.46262626263</v>
      </c>
      <c r="H28">
        <f t="shared" si="1"/>
        <v>0.242894183838384</v>
      </c>
      <c r="I28">
        <f t="shared" si="2"/>
        <v>0.000465773737373737</v>
      </c>
      <c r="J28">
        <f t="shared" si="3"/>
        <v>900</v>
      </c>
      <c r="Z28" s="1"/>
      <c r="AA28" s="3"/>
      <c r="AB28" s="3"/>
      <c r="AC28" s="1"/>
      <c r="AD28" s="3"/>
      <c r="AE28" s="3"/>
    </row>
    <row r="29" spans="1:31">
      <c r="A29" s="2" t="s">
        <v>13</v>
      </c>
      <c r="B29" s="2">
        <v>1</v>
      </c>
      <c r="C29" s="2"/>
      <c r="D29" s="2">
        <v>1.29355</v>
      </c>
      <c r="E29" s="2">
        <v>495</v>
      </c>
      <c r="F29" s="2">
        <v>4.421242</v>
      </c>
      <c r="G29" s="1">
        <f t="shared" ref="G29:G37" si="4">C29/E29</f>
        <v>0</v>
      </c>
      <c r="H29">
        <f t="shared" ref="H29:H37" si="5">D29/E29</f>
        <v>0.00261323232323232</v>
      </c>
      <c r="I29">
        <f t="shared" ref="I29:I37" si="6">F29/E29</f>
        <v>0.00893180202020202</v>
      </c>
      <c r="Z29" s="1"/>
      <c r="AA29" s="3"/>
      <c r="AB29" s="3"/>
      <c r="AC29" s="1"/>
      <c r="AD29" s="3"/>
      <c r="AE29" s="3"/>
    </row>
    <row r="30" spans="1:31">
      <c r="A30" s="2" t="s">
        <v>13</v>
      </c>
      <c r="B30" s="2">
        <v>2</v>
      </c>
      <c r="C30" s="2"/>
      <c r="D30" s="2">
        <v>4.342617</v>
      </c>
      <c r="E30" s="2">
        <v>495</v>
      </c>
      <c r="F30" s="2">
        <v>11.56711</v>
      </c>
      <c r="G30" s="1">
        <f t="shared" si="4"/>
        <v>0</v>
      </c>
      <c r="H30">
        <f t="shared" si="5"/>
        <v>0.00877296363636364</v>
      </c>
      <c r="I30">
        <f t="shared" si="6"/>
        <v>0.023367898989899</v>
      </c>
      <c r="Z30" s="1"/>
      <c r="AA30" s="3"/>
      <c r="AB30" s="3"/>
      <c r="AC30" s="1"/>
      <c r="AD30" s="3"/>
      <c r="AE30" s="3"/>
    </row>
    <row r="31" spans="1:31">
      <c r="A31" s="2" t="s">
        <v>13</v>
      </c>
      <c r="B31" s="2">
        <v>3</v>
      </c>
      <c r="C31" s="2"/>
      <c r="D31" s="2">
        <v>10.464992</v>
      </c>
      <c r="E31" s="2">
        <v>495</v>
      </c>
      <c r="F31" s="2">
        <v>20.641429</v>
      </c>
      <c r="G31" s="1">
        <f t="shared" si="4"/>
        <v>0</v>
      </c>
      <c r="H31">
        <f t="shared" si="5"/>
        <v>0.021141397979798</v>
      </c>
      <c r="I31">
        <f t="shared" si="6"/>
        <v>0.0416998565656566</v>
      </c>
      <c r="Z31" s="1"/>
      <c r="AA31" s="3"/>
      <c r="AB31" s="3"/>
      <c r="AC31" s="1"/>
      <c r="AD31" s="3"/>
      <c r="AE31" s="3"/>
    </row>
    <row r="32" spans="1:31">
      <c r="A32" s="2" t="s">
        <v>13</v>
      </c>
      <c r="B32" s="2">
        <v>4</v>
      </c>
      <c r="C32" s="2"/>
      <c r="D32" s="2">
        <v>20.42374</v>
      </c>
      <c r="E32" s="2">
        <v>495</v>
      </c>
      <c r="F32" s="2">
        <v>31.630661</v>
      </c>
      <c r="G32" s="1">
        <f t="shared" si="4"/>
        <v>0</v>
      </c>
      <c r="H32">
        <f t="shared" si="5"/>
        <v>0.0412600808080808</v>
      </c>
      <c r="I32">
        <f t="shared" si="6"/>
        <v>0.0639003252525253</v>
      </c>
      <c r="Z32" s="1"/>
      <c r="AA32" s="3"/>
      <c r="AB32" s="3"/>
      <c r="AC32" s="1"/>
      <c r="AD32" s="3"/>
      <c r="AE32" s="3"/>
    </row>
    <row r="33" spans="1:31">
      <c r="A33" s="2" t="s">
        <v>13</v>
      </c>
      <c r="B33" s="2">
        <v>5</v>
      </c>
      <c r="C33" s="2"/>
      <c r="D33" s="2">
        <v>35.45815</v>
      </c>
      <c r="E33" s="2">
        <v>495</v>
      </c>
      <c r="F33" s="2">
        <v>43.92048</v>
      </c>
      <c r="G33" s="1">
        <f t="shared" si="4"/>
        <v>0</v>
      </c>
      <c r="H33">
        <f t="shared" si="5"/>
        <v>0.0716326262626263</v>
      </c>
      <c r="I33">
        <f t="shared" si="6"/>
        <v>0.0887282424242424</v>
      </c>
      <c r="Z33" s="1"/>
      <c r="AA33" s="3"/>
      <c r="AB33" s="3"/>
      <c r="AC33" s="1"/>
      <c r="AD33" s="3"/>
      <c r="AE33" s="3"/>
    </row>
    <row r="34" spans="1:31">
      <c r="A34" s="2" t="s">
        <v>13</v>
      </c>
      <c r="B34" s="2">
        <v>6</v>
      </c>
      <c r="C34" s="2"/>
      <c r="D34" s="2">
        <v>54.890645</v>
      </c>
      <c r="E34" s="2">
        <v>495</v>
      </c>
      <c r="F34" s="2">
        <v>57.762398</v>
      </c>
      <c r="G34" s="1">
        <f t="shared" si="4"/>
        <v>0</v>
      </c>
      <c r="H34">
        <f t="shared" si="5"/>
        <v>0.110890191919192</v>
      </c>
      <c r="I34">
        <f t="shared" si="6"/>
        <v>0.116691713131313</v>
      </c>
      <c r="Z34" s="1"/>
      <c r="AA34" s="3"/>
      <c r="AB34" s="3"/>
      <c r="AC34" s="1"/>
      <c r="AD34" s="3"/>
      <c r="AE34" s="3"/>
    </row>
    <row r="35" spans="1:31">
      <c r="A35" s="2" t="s">
        <v>13</v>
      </c>
      <c r="B35" s="2">
        <v>7</v>
      </c>
      <c r="C35" s="2"/>
      <c r="D35" s="2">
        <v>80.142127</v>
      </c>
      <c r="E35" s="2">
        <v>495</v>
      </c>
      <c r="F35" s="2">
        <v>76.961835</v>
      </c>
      <c r="G35" s="1">
        <f t="shared" si="4"/>
        <v>0</v>
      </c>
      <c r="H35">
        <f t="shared" si="5"/>
        <v>0.161903286868687</v>
      </c>
      <c r="I35">
        <f t="shared" si="6"/>
        <v>0.155478454545455</v>
      </c>
      <c r="Z35" s="1"/>
      <c r="AA35" s="3"/>
      <c r="AB35" s="3"/>
      <c r="AC35" s="1"/>
      <c r="AD35" s="3"/>
      <c r="AE35" s="3"/>
    </row>
    <row r="36" spans="1:31">
      <c r="A36" s="2" t="s">
        <v>13</v>
      </c>
      <c r="B36" s="2">
        <v>8</v>
      </c>
      <c r="C36" s="2"/>
      <c r="D36" s="2">
        <v>118.423028</v>
      </c>
      <c r="E36" s="2">
        <v>495</v>
      </c>
      <c r="F36" s="2">
        <v>95.61626</v>
      </c>
      <c r="G36" s="1">
        <f t="shared" si="4"/>
        <v>0</v>
      </c>
      <c r="H36">
        <f t="shared" si="5"/>
        <v>0.23923844040404</v>
      </c>
      <c r="I36">
        <f t="shared" si="6"/>
        <v>0.193164161616162</v>
      </c>
      <c r="Z36" s="1"/>
      <c r="AA36" s="3"/>
      <c r="AB36" s="3"/>
      <c r="AC36" s="1"/>
      <c r="AD36" s="3"/>
      <c r="AE36" s="3"/>
    </row>
    <row r="37" spans="1:31">
      <c r="A37" s="2" t="s">
        <v>13</v>
      </c>
      <c r="B37" s="2">
        <v>9</v>
      </c>
      <c r="C37" s="2"/>
      <c r="D37" s="2">
        <v>156.117131</v>
      </c>
      <c r="E37" s="2">
        <v>495</v>
      </c>
      <c r="F37" s="2">
        <v>115.93857</v>
      </c>
      <c r="G37" s="1">
        <f t="shared" si="4"/>
        <v>0</v>
      </c>
      <c r="H37">
        <f t="shared" si="5"/>
        <v>0.315388143434343</v>
      </c>
      <c r="I37">
        <f t="shared" si="6"/>
        <v>0.234219333333333</v>
      </c>
      <c r="Z37" s="1"/>
      <c r="AA37" s="3"/>
      <c r="AB37" s="3"/>
      <c r="AC37" s="1"/>
      <c r="AD37" s="3"/>
      <c r="AE37" s="3"/>
    </row>
    <row r="38" spans="26:31">
      <c r="Z38" s="1"/>
      <c r="AA38" s="3"/>
      <c r="AB38" s="3"/>
      <c r="AC38" s="1"/>
      <c r="AD38" s="3"/>
      <c r="AE38" s="3"/>
    </row>
    <row r="39" spans="26:31">
      <c r="Z39" s="1"/>
      <c r="AA39" s="3"/>
      <c r="AB39" s="3"/>
      <c r="AC39" s="1"/>
      <c r="AD39" s="3"/>
      <c r="AE39" s="3"/>
    </row>
    <row r="40" spans="26:31">
      <c r="Z40" s="1"/>
      <c r="AA40" s="3"/>
      <c r="AB40" s="3"/>
      <c r="AC40" s="1"/>
      <c r="AD40" s="3"/>
      <c r="AE40" s="3"/>
    </row>
    <row r="41" spans="26:31">
      <c r="Z41" s="1"/>
      <c r="AA41" s="3"/>
      <c r="AB41" s="3"/>
      <c r="AC41" s="1"/>
      <c r="AD41" s="3"/>
      <c r="AE41" s="3"/>
    </row>
    <row r="42" spans="26:31">
      <c r="Z42" s="1"/>
      <c r="AA42" s="3"/>
      <c r="AB42" s="3"/>
      <c r="AC42" s="1"/>
      <c r="AD42" s="3"/>
      <c r="AE42" s="3"/>
    </row>
    <row r="43" spans="26:31">
      <c r="Z43" s="1"/>
      <c r="AA43" s="3"/>
      <c r="AB43" s="3"/>
      <c r="AC43" s="1"/>
      <c r="AD43" s="3"/>
      <c r="AE43" s="3"/>
    </row>
    <row r="44" spans="26:31">
      <c r="Z44" s="1"/>
      <c r="AA44" s="3"/>
      <c r="AB44" s="3"/>
      <c r="AC44" s="1"/>
      <c r="AD44" s="3"/>
      <c r="AE44" s="3"/>
    </row>
    <row r="45" spans="26:31">
      <c r="Z45" s="1"/>
      <c r="AA45" s="3"/>
      <c r="AB45" s="3"/>
      <c r="AC45" s="1"/>
      <c r="AD45" s="3"/>
      <c r="AE45" s="3"/>
    </row>
    <row r="46" spans="26:31">
      <c r="Z46" s="1"/>
      <c r="AA46" s="3"/>
      <c r="AB46" s="3"/>
      <c r="AC46" s="1"/>
      <c r="AD46" s="3"/>
      <c r="AE46" s="3"/>
    </row>
    <row r="47" spans="26:31">
      <c r="Z47" s="1"/>
      <c r="AA47" s="3"/>
      <c r="AB47" s="3"/>
      <c r="AC47" s="1"/>
      <c r="AD47" s="3"/>
      <c r="AE47" s="3"/>
    </row>
    <row r="48" spans="26:31">
      <c r="Z48" s="1"/>
      <c r="AA48" s="3"/>
      <c r="AB48" s="3"/>
      <c r="AC48" s="1"/>
      <c r="AD48" s="3"/>
      <c r="AE48" s="3"/>
    </row>
    <row r="49" spans="26:31">
      <c r="Z49" s="1"/>
      <c r="AA49" s="3"/>
      <c r="AB49" s="3"/>
      <c r="AC49" s="1"/>
      <c r="AD49" s="3"/>
      <c r="AE49" s="3"/>
    </row>
    <row r="50" spans="26:31">
      <c r="Z50" s="1"/>
      <c r="AA50" s="3"/>
      <c r="AB50" s="3"/>
      <c r="AC50" s="1"/>
      <c r="AD50" s="3"/>
      <c r="AE50" s="3"/>
    </row>
    <row r="51" spans="26:31">
      <c r="Z51" s="1"/>
      <c r="AA51" s="3"/>
      <c r="AB51" s="3"/>
      <c r="AC51" s="1"/>
      <c r="AD51" s="3"/>
      <c r="AE51" s="3"/>
    </row>
    <row r="52" spans="26:31">
      <c r="Z52" s="1"/>
      <c r="AA52" s="3"/>
      <c r="AB52" s="3"/>
      <c r="AC52" s="1"/>
      <c r="AD52" s="3"/>
      <c r="AE52" s="3"/>
    </row>
    <row r="53" spans="26:31">
      <c r="Z53" s="1"/>
      <c r="AA53" s="3"/>
      <c r="AB53" s="3"/>
      <c r="AC53" s="1"/>
      <c r="AD53" s="3"/>
      <c r="AE53" s="3"/>
    </row>
    <row r="54" spans="26:31">
      <c r="Z54" s="1"/>
      <c r="AA54" s="3"/>
      <c r="AB54" s="3"/>
      <c r="AC54" s="1"/>
      <c r="AD54" s="3"/>
      <c r="AE54" s="3"/>
    </row>
    <row r="55" spans="26:31">
      <c r="Z55" s="1"/>
      <c r="AA55" s="3"/>
      <c r="AB55" s="3"/>
      <c r="AC55" s="1"/>
      <c r="AD55" s="3"/>
      <c r="AE55" s="3"/>
    </row>
    <row r="56" spans="26:31">
      <c r="Z56" s="1"/>
      <c r="AA56" s="3"/>
      <c r="AB56" s="3"/>
      <c r="AC56" s="1"/>
      <c r="AD56" s="3"/>
      <c r="AE56" s="3"/>
    </row>
    <row r="57" spans="26:31">
      <c r="Z57" s="1"/>
      <c r="AA57" s="3"/>
      <c r="AB57" s="3"/>
      <c r="AC57" s="1"/>
      <c r="AD57" s="3"/>
      <c r="AE57" s="3"/>
    </row>
    <row r="58" spans="26:31">
      <c r="Z58" s="1"/>
      <c r="AA58" s="3"/>
      <c r="AB58" s="3"/>
      <c r="AC58" s="1"/>
      <c r="AD58" s="3"/>
      <c r="AE58" s="3"/>
    </row>
    <row r="59" spans="26:31">
      <c r="Z59" s="1"/>
      <c r="AA59" s="3"/>
      <c r="AB59" s="3"/>
      <c r="AC59" s="1"/>
      <c r="AD59" s="3"/>
      <c r="AE59" s="3"/>
    </row>
    <row r="60" spans="26:31">
      <c r="Z60" s="1"/>
      <c r="AA60" s="3"/>
      <c r="AB60" s="3"/>
      <c r="AC60" s="1"/>
      <c r="AD60" s="3"/>
      <c r="AE60" s="3"/>
    </row>
    <row r="61" spans="26:31">
      <c r="Z61" s="1"/>
      <c r="AA61" s="3"/>
      <c r="AB61" s="3"/>
      <c r="AC61" s="1"/>
      <c r="AD61" s="3"/>
      <c r="AE61" s="3"/>
    </row>
    <row r="62" spans="26:31">
      <c r="Z62" s="1"/>
      <c r="AA62" s="3"/>
      <c r="AB62" s="3"/>
      <c r="AC62" s="1"/>
      <c r="AD62" s="3"/>
      <c r="AE62" s="3"/>
    </row>
    <row r="63" spans="26:31">
      <c r="Z63" s="1"/>
      <c r="AA63" s="3"/>
      <c r="AB63" s="3"/>
      <c r="AC63" s="1"/>
      <c r="AD63" s="3"/>
      <c r="AE63" s="3"/>
    </row>
    <row r="64" spans="26:31">
      <c r="Z64" s="1"/>
      <c r="AA64" s="3"/>
      <c r="AB64" s="3"/>
      <c r="AC64" s="1"/>
      <c r="AD64" s="3"/>
      <c r="AE64" s="3"/>
    </row>
    <row r="65" spans="26:31">
      <c r="Z65" s="1"/>
      <c r="AA65" s="3"/>
      <c r="AB65" s="3"/>
      <c r="AC65" s="1"/>
      <c r="AD65" s="3"/>
      <c r="AE65" s="3"/>
    </row>
    <row r="66" spans="26:31">
      <c r="Z66" s="1"/>
      <c r="AA66" s="3"/>
      <c r="AB66" s="3"/>
      <c r="AC66" s="1"/>
      <c r="AD66" s="3"/>
      <c r="AE66" s="3"/>
    </row>
    <row r="67" spans="26:31">
      <c r="Z67" s="1"/>
      <c r="AA67" s="3"/>
      <c r="AB67" s="3"/>
      <c r="AC67" s="1"/>
      <c r="AD67" s="3"/>
      <c r="AE67" s="3"/>
    </row>
    <row r="68" spans="26:31">
      <c r="Z68" s="1"/>
      <c r="AA68" s="3"/>
      <c r="AB68" s="3"/>
      <c r="AC68" s="1"/>
      <c r="AD68" s="3"/>
      <c r="AE68" s="3"/>
    </row>
    <row r="69" spans="26:31">
      <c r="Z69" s="1"/>
      <c r="AA69" s="3"/>
      <c r="AB69" s="3"/>
      <c r="AC69" s="1"/>
      <c r="AD69" s="3"/>
      <c r="AE69" s="3"/>
    </row>
    <row r="70" spans="26:31">
      <c r="Z70" s="1"/>
      <c r="AA70" s="3"/>
      <c r="AB70" s="3"/>
      <c r="AC70" s="1"/>
      <c r="AD70" s="3"/>
      <c r="AE70" s="3"/>
    </row>
    <row r="71" spans="26:31">
      <c r="Z71" s="1"/>
      <c r="AA71" s="3"/>
      <c r="AB71" s="3"/>
      <c r="AC71" s="1"/>
      <c r="AD71" s="3"/>
      <c r="AE71" s="3"/>
    </row>
    <row r="72" spans="26:31">
      <c r="Z72" s="1"/>
      <c r="AA72" s="3"/>
      <c r="AB72" s="3"/>
      <c r="AC72" s="1"/>
      <c r="AD72" s="3"/>
      <c r="AE72" s="3"/>
    </row>
    <row r="73" spans="26:31">
      <c r="Z73" s="1"/>
      <c r="AA73" s="3"/>
      <c r="AB73" s="3"/>
      <c r="AC73" s="1"/>
      <c r="AD73" s="3"/>
      <c r="AE73" s="3"/>
    </row>
    <row r="74" spans="26:31">
      <c r="Z74" s="1"/>
      <c r="AA74" s="3"/>
      <c r="AB74" s="3"/>
      <c r="AC74" s="1"/>
      <c r="AD74" s="3"/>
      <c r="AE74" s="3"/>
    </row>
    <row r="75" spans="26:31">
      <c r="Z75" s="1"/>
      <c r="AA75" s="3"/>
      <c r="AB75" s="3"/>
      <c r="AC75" s="1"/>
      <c r="AD75" s="3"/>
      <c r="AE75" s="3"/>
    </row>
    <row r="76" spans="26:31">
      <c r="Z76" s="1"/>
      <c r="AA76" s="3"/>
      <c r="AB76" s="3"/>
      <c r="AC76" s="1"/>
      <c r="AD76" s="3"/>
      <c r="AE76" s="3"/>
    </row>
    <row r="77" spans="26:31">
      <c r="Z77" s="1"/>
      <c r="AA77" s="3"/>
      <c r="AB77" s="3"/>
      <c r="AC77" s="1"/>
      <c r="AD77" s="3"/>
      <c r="AE77" s="3"/>
    </row>
    <row r="78" spans="26:31">
      <c r="Z78" s="1"/>
      <c r="AA78" s="3"/>
      <c r="AB78" s="3"/>
      <c r="AC78" s="1"/>
      <c r="AD78" s="3"/>
      <c r="AE78" s="3"/>
    </row>
    <row r="79" spans="26:31">
      <c r="Z79" s="1"/>
      <c r="AA79" s="3"/>
      <c r="AB79" s="3"/>
      <c r="AC79" s="1"/>
      <c r="AD79" s="3"/>
      <c r="AE79" s="3"/>
    </row>
    <row r="80" spans="26:31">
      <c r="Z80" s="1"/>
      <c r="AA80" s="3"/>
      <c r="AB80" s="3"/>
      <c r="AC80" s="1"/>
      <c r="AD80" s="3"/>
      <c r="AE80" s="3"/>
    </row>
    <row r="81" spans="26:31">
      <c r="Z81" s="1"/>
      <c r="AA81" s="3"/>
      <c r="AB81" s="3"/>
      <c r="AC81" s="1"/>
      <c r="AD81" s="3"/>
      <c r="AE81" s="3"/>
    </row>
    <row r="82" spans="26:31">
      <c r="Z82" s="1"/>
      <c r="AA82" s="3"/>
      <c r="AB82" s="3"/>
      <c r="AC82" s="1"/>
      <c r="AD82" s="3"/>
      <c r="AE82" s="3"/>
    </row>
    <row r="83" spans="26:31">
      <c r="Z83" s="1"/>
      <c r="AA83" s="3"/>
      <c r="AB83" s="3"/>
      <c r="AC83" s="1"/>
      <c r="AD83" s="3"/>
      <c r="AE83" s="3"/>
    </row>
    <row r="84" spans="26:31">
      <c r="Z84" s="1"/>
      <c r="AA84" s="3"/>
      <c r="AB84" s="3"/>
      <c r="AC84" s="1"/>
      <c r="AD84" s="3"/>
      <c r="AE84" s="3"/>
    </row>
    <row r="85" spans="26:31">
      <c r="Z85" s="1"/>
      <c r="AA85" s="3"/>
      <c r="AB85" s="3"/>
      <c r="AC85" s="1"/>
      <c r="AD85" s="3"/>
      <c r="AE85" s="3"/>
    </row>
    <row r="86" spans="26:31">
      <c r="Z86" s="1"/>
      <c r="AA86" s="3"/>
      <c r="AB86" s="3"/>
      <c r="AC86" s="1"/>
      <c r="AD86" s="3"/>
      <c r="AE86" s="3"/>
    </row>
    <row r="87" spans="26:31">
      <c r="Z87" s="1"/>
      <c r="AA87" s="3"/>
      <c r="AB87" s="3"/>
      <c r="AC87" s="1"/>
      <c r="AD87" s="3"/>
      <c r="AE87" s="3"/>
    </row>
    <row r="88" spans="26:31">
      <c r="Z88" s="1"/>
      <c r="AA88" s="3"/>
      <c r="AB88" s="3"/>
      <c r="AC88" s="1"/>
      <c r="AD88" s="3"/>
      <c r="AE88" s="3"/>
    </row>
    <row r="89" spans="26:31">
      <c r="Z89" s="1"/>
      <c r="AA89" s="3"/>
      <c r="AB89" s="3"/>
      <c r="AC89" s="1"/>
      <c r="AD89" s="3"/>
      <c r="AE89" s="3"/>
    </row>
    <row r="90" spans="26:31">
      <c r="Z90" s="1"/>
      <c r="AA90" s="3"/>
      <c r="AB90" s="3"/>
      <c r="AC90" s="1"/>
      <c r="AD90" s="3"/>
      <c r="AE90" s="3"/>
    </row>
    <row r="91" spans="26:31">
      <c r="Z91" s="1"/>
      <c r="AA91" s="3"/>
      <c r="AB91" s="3"/>
      <c r="AC91" s="1"/>
      <c r="AD91" s="3"/>
      <c r="AE91" s="3"/>
    </row>
    <row r="92" spans="26:31">
      <c r="Z92" s="1"/>
      <c r="AA92" s="3"/>
      <c r="AB92" s="3"/>
      <c r="AC92" s="1"/>
      <c r="AD92" s="3"/>
      <c r="AE92" s="3"/>
    </row>
    <row r="93" spans="26:31">
      <c r="Z93" s="1"/>
      <c r="AA93" s="3"/>
      <c r="AB93" s="3"/>
      <c r="AC93" s="1"/>
      <c r="AD93" s="3"/>
      <c r="AE93" s="3"/>
    </row>
    <row r="94" spans="26:31">
      <c r="Z94" s="1"/>
      <c r="AA94" s="3"/>
      <c r="AB94" s="3"/>
      <c r="AC94" s="1"/>
      <c r="AD94" s="3"/>
      <c r="AE94" s="3"/>
    </row>
    <row r="95" spans="26:31">
      <c r="Z95" s="1"/>
      <c r="AA95" s="3"/>
      <c r="AB95" s="3"/>
      <c r="AC95" s="1"/>
      <c r="AD95" s="1"/>
      <c r="AE95" s="1"/>
    </row>
    <row r="96" spans="26:31">
      <c r="Z96" s="1"/>
      <c r="AA96" s="3"/>
      <c r="AB96" s="3"/>
      <c r="AC96" s="1"/>
      <c r="AD96" s="1"/>
      <c r="AE96" s="1"/>
    </row>
    <row r="97" spans="26:31">
      <c r="Z97" s="1"/>
      <c r="AA97" s="3"/>
      <c r="AB97" s="3"/>
      <c r="AC97" s="1"/>
      <c r="AD97" s="1"/>
      <c r="AE97" s="1"/>
    </row>
    <row r="98" spans="26:31">
      <c r="Z98" s="1"/>
      <c r="AA98" s="3"/>
      <c r="AB98" s="3"/>
      <c r="AC98" s="1"/>
      <c r="AD98" s="1"/>
      <c r="AE98" s="1"/>
    </row>
    <row r="99" spans="26:31">
      <c r="Z99" s="1"/>
      <c r="AA99" s="3"/>
      <c r="AB99" s="3"/>
      <c r="AC99" s="1"/>
      <c r="AD99" s="1"/>
      <c r="AE99" s="1"/>
    </row>
    <row r="100" spans="26:31">
      <c r="Z100" s="1"/>
      <c r="AA100" s="3"/>
      <c r="AB100" s="3"/>
      <c r="AC100" s="1"/>
      <c r="AD100" s="1"/>
      <c r="AE100" s="1"/>
    </row>
    <row r="101" spans="26:31">
      <c r="Z101" s="1"/>
      <c r="AA101" s="3"/>
      <c r="AB101" s="3"/>
      <c r="AC101" s="1"/>
      <c r="AD101" s="1"/>
      <c r="AE101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zcy</cp:lastModifiedBy>
  <dcterms:created xsi:type="dcterms:W3CDTF">2022-05-27T17:55:00Z</dcterms:created>
  <dcterms:modified xsi:type="dcterms:W3CDTF">2022-06-08T21:43:19Z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