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_project\For_Chongyao\funannongwu\ConsManifold\sheet\"/>
    </mc:Choice>
  </mc:AlternateContent>
  <bookViews>
    <workbookView xWindow="0" yWindow="0" windowWidth="32370" windowHeight="1825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S9" i="1" l="1"/>
  <c r="S8" i="1"/>
  <c r="S7" i="1"/>
  <c r="S6" i="1"/>
  <c r="S5" i="1"/>
  <c r="S4" i="1"/>
  <c r="AK3" i="1"/>
  <c r="AK4" i="1" s="1"/>
  <c r="AK5" i="1" s="1"/>
  <c r="AK6" i="1" s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D3" i="1"/>
  <c r="AD4" i="1" s="1"/>
  <c r="AD5" i="1" s="1"/>
  <c r="AD6" i="1" s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S3" i="1"/>
  <c r="R3" i="1"/>
  <c r="R4" i="1" s="1"/>
  <c r="R5" i="1" s="1"/>
  <c r="R6" i="1" s="1"/>
  <c r="R7" i="1" s="1"/>
  <c r="R8" i="1" s="1"/>
  <c r="R9" i="1" s="1"/>
  <c r="R10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S2" i="1"/>
</calcChain>
</file>

<file path=xl/sharedStrings.xml><?xml version="1.0" encoding="utf-8"?>
<sst xmlns="http://schemas.openxmlformats.org/spreadsheetml/2006/main" count="65" uniqueCount="11">
  <si>
    <t>penalty 1e6</t>
  </si>
  <si>
    <t>Energy value</t>
  </si>
  <si>
    <t>cost</t>
  </si>
  <si>
    <t>accumulated time</t>
  </si>
  <si>
    <t>ours</t>
  </si>
  <si>
    <t>energy value</t>
  </si>
  <si>
    <t>penalty 1e9</t>
  </si>
  <si>
    <t>energy Value</t>
  </si>
  <si>
    <t>penalty 1e2</t>
  </si>
  <si>
    <t>E value</t>
  </si>
  <si>
    <t>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</si>
</sst>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00E+00"/>
    <numFmt numFmtId="177" formatCode="0.0000000E+00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v>penalty-1e9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Sheet1!$AD$2:$AD$50</c:f>
              <c:numCache>
                <c:formatCode>General</c:formatCode>
                <c:ptCount val="49"/>
                <c:pt idx="0">
                  <c:v>0</c:v>
                </c:pt>
                <c:pt idx="1">
                  <c:v>3.2000000000000001E-2</c:v>
                </c:pt>
                <c:pt idx="2">
                  <c:v>0.04</c:v>
                </c:pt>
                <c:pt idx="3">
                  <c:v>4.8000000000000001E-2</c:v>
                </c:pt>
                <c:pt idx="4">
                  <c:v>5.5E-2</c:v>
                </c:pt>
                <c:pt idx="5">
                  <c:v>6.2E-2</c:v>
                </c:pt>
                <c:pt idx="6">
                  <c:v>6.8000000000000005E-2</c:v>
                </c:pt>
                <c:pt idx="7">
                  <c:v>7.6999999999999999E-2</c:v>
                </c:pt>
                <c:pt idx="8">
                  <c:v>8.3000000000000004E-2</c:v>
                </c:pt>
                <c:pt idx="9">
                  <c:v>9.0999999999999998E-2</c:v>
                </c:pt>
                <c:pt idx="10">
                  <c:v>9.8000000000000004E-2</c:v>
                </c:pt>
                <c:pt idx="11">
                  <c:v>0.10600000000000001</c:v>
                </c:pt>
                <c:pt idx="12">
                  <c:v>0.11300000000000002</c:v>
                </c:pt>
                <c:pt idx="13">
                  <c:v>0.12100000000000002</c:v>
                </c:pt>
                <c:pt idx="14">
                  <c:v>0.12800000000000003</c:v>
                </c:pt>
                <c:pt idx="15">
                  <c:v>0.13600000000000004</c:v>
                </c:pt>
                <c:pt idx="16">
                  <c:v>0.14400000000000004</c:v>
                </c:pt>
                <c:pt idx="17">
                  <c:v>0.15000000000000005</c:v>
                </c:pt>
                <c:pt idx="18">
                  <c:v>0.15900000000000006</c:v>
                </c:pt>
                <c:pt idx="19">
                  <c:v>0.16500000000000006</c:v>
                </c:pt>
                <c:pt idx="20">
                  <c:v>0.17200000000000007</c:v>
                </c:pt>
                <c:pt idx="21">
                  <c:v>0.17900000000000008</c:v>
                </c:pt>
                <c:pt idx="22">
                  <c:v>0.18700000000000008</c:v>
                </c:pt>
                <c:pt idx="23">
                  <c:v>0.19300000000000009</c:v>
                </c:pt>
                <c:pt idx="24">
                  <c:v>0.20000000000000009</c:v>
                </c:pt>
                <c:pt idx="25">
                  <c:v>0.2080000000000001</c:v>
                </c:pt>
                <c:pt idx="26">
                  <c:v>0.21500000000000011</c:v>
                </c:pt>
                <c:pt idx="27">
                  <c:v>0.22100000000000011</c:v>
                </c:pt>
                <c:pt idx="28">
                  <c:v>0.22900000000000012</c:v>
                </c:pt>
                <c:pt idx="29">
                  <c:v>0.23500000000000013</c:v>
                </c:pt>
                <c:pt idx="30">
                  <c:v>0.24200000000000013</c:v>
                </c:pt>
                <c:pt idx="31">
                  <c:v>0.24800000000000014</c:v>
                </c:pt>
                <c:pt idx="32">
                  <c:v>0.25500000000000012</c:v>
                </c:pt>
                <c:pt idx="33">
                  <c:v>0.26100000000000012</c:v>
                </c:pt>
                <c:pt idx="34">
                  <c:v>0.26800000000000013</c:v>
                </c:pt>
                <c:pt idx="35">
                  <c:v>0.27400000000000013</c:v>
                </c:pt>
                <c:pt idx="36">
                  <c:v>0.29300000000000015</c:v>
                </c:pt>
                <c:pt idx="37">
                  <c:v>0.30100000000000016</c:v>
                </c:pt>
                <c:pt idx="38">
                  <c:v>0.30900000000000016</c:v>
                </c:pt>
                <c:pt idx="39">
                  <c:v>0.31600000000000017</c:v>
                </c:pt>
                <c:pt idx="40">
                  <c:v>0.32500000000000018</c:v>
                </c:pt>
                <c:pt idx="41">
                  <c:v>0.33300000000000018</c:v>
                </c:pt>
                <c:pt idx="42">
                  <c:v>0.34300000000000019</c:v>
                </c:pt>
                <c:pt idx="43">
                  <c:v>0.3510000000000002</c:v>
                </c:pt>
                <c:pt idx="44">
                  <c:v>0.35800000000000021</c:v>
                </c:pt>
                <c:pt idx="45">
                  <c:v>0.36700000000000021</c:v>
                </c:pt>
                <c:pt idx="46">
                  <c:v>0.37800000000000022</c:v>
                </c:pt>
                <c:pt idx="47">
                  <c:v>0.38800000000000023</c:v>
                </c:pt>
                <c:pt idx="48">
                  <c:v>0.39600000000000024</c:v>
                </c:pt>
              </c:numCache>
            </c:numRef>
          </c:xVal>
          <c:yVal>
            <c:numRef>
              <c:f>Sheet1!$V$2:$V$50</c:f>
              <c:numCache>
                <c:formatCode>0.00E+00</c:formatCode>
                <c:ptCount val="49"/>
                <c:pt idx="0">
                  <c:v>-0.47130699999999998</c:v>
                </c:pt>
                <c:pt idx="1">
                  <c:v>-0.47142060000000002</c:v>
                </c:pt>
                <c:pt idx="2">
                  <c:v>-0.47167589999999998</c:v>
                </c:pt>
                <c:pt idx="3">
                  <c:v>-0.47494730000000002</c:v>
                </c:pt>
                <c:pt idx="4">
                  <c:v>-0.47500829999999999</c:v>
                </c:pt>
                <c:pt idx="5">
                  <c:v>-0.47519359999999999</c:v>
                </c:pt>
                <c:pt idx="6">
                  <c:v>-0.47611759999999997</c:v>
                </c:pt>
                <c:pt idx="7">
                  <c:v>-0.47647529999999999</c:v>
                </c:pt>
                <c:pt idx="8">
                  <c:v>-0.48008190000000001</c:v>
                </c:pt>
                <c:pt idx="9">
                  <c:v>-0.48027449999999999</c:v>
                </c:pt>
                <c:pt idx="10">
                  <c:v>-0.48049829999999999</c:v>
                </c:pt>
                <c:pt idx="11">
                  <c:v>-0.48089520000000002</c:v>
                </c:pt>
                <c:pt idx="12">
                  <c:v>-0.48306480000000002</c:v>
                </c:pt>
                <c:pt idx="13">
                  <c:v>-0.48337999999999998</c:v>
                </c:pt>
                <c:pt idx="14">
                  <c:v>-0.48431669999999999</c:v>
                </c:pt>
                <c:pt idx="15">
                  <c:v>-0.48467270000000001</c:v>
                </c:pt>
                <c:pt idx="16">
                  <c:v>-0.48732730000000002</c:v>
                </c:pt>
                <c:pt idx="17">
                  <c:v>-0.49258400000000002</c:v>
                </c:pt>
                <c:pt idx="18">
                  <c:v>-0.49266500000000002</c:v>
                </c:pt>
                <c:pt idx="19">
                  <c:v>-0.4930291</c:v>
                </c:pt>
                <c:pt idx="20">
                  <c:v>-0.49304189999999998</c:v>
                </c:pt>
                <c:pt idx="21">
                  <c:v>-0.49833270000000002</c:v>
                </c:pt>
                <c:pt idx="22">
                  <c:v>-0.49856850000000003</c:v>
                </c:pt>
                <c:pt idx="23">
                  <c:v>-0.49888009999999999</c:v>
                </c:pt>
                <c:pt idx="24">
                  <c:v>-0.5028589</c:v>
                </c:pt>
                <c:pt idx="25">
                  <c:v>-0.50297820000000004</c:v>
                </c:pt>
                <c:pt idx="26">
                  <c:v>-0.50330920000000001</c:v>
                </c:pt>
                <c:pt idx="27">
                  <c:v>-0.50534990000000002</c:v>
                </c:pt>
                <c:pt idx="28">
                  <c:v>-0.50538349999999999</c:v>
                </c:pt>
                <c:pt idx="29">
                  <c:v>-0.50614619999999999</c:v>
                </c:pt>
                <c:pt idx="30">
                  <c:v>-0.50641599999999998</c:v>
                </c:pt>
                <c:pt idx="31">
                  <c:v>-0.50826260000000001</c:v>
                </c:pt>
                <c:pt idx="32">
                  <c:v>-0.50830569999999997</c:v>
                </c:pt>
                <c:pt idx="33">
                  <c:v>-0.50945720000000005</c:v>
                </c:pt>
                <c:pt idx="34">
                  <c:v>-0.50971869999999997</c:v>
                </c:pt>
                <c:pt idx="35">
                  <c:v>-0.51132359999999999</c:v>
                </c:pt>
                <c:pt idx="36">
                  <c:v>-0.51137310000000002</c:v>
                </c:pt>
                <c:pt idx="37">
                  <c:v>-0.51250300000000004</c:v>
                </c:pt>
                <c:pt idx="38">
                  <c:v>-0.51250620000000002</c:v>
                </c:pt>
                <c:pt idx="39">
                  <c:v>-0.51482019999999995</c:v>
                </c:pt>
                <c:pt idx="40">
                  <c:v>-0.51488909999999999</c:v>
                </c:pt>
                <c:pt idx="41">
                  <c:v>-0.51556900000000006</c:v>
                </c:pt>
                <c:pt idx="42">
                  <c:v>-0.51695190000000002</c:v>
                </c:pt>
                <c:pt idx="43">
                  <c:v>-0.51706569999999996</c:v>
                </c:pt>
                <c:pt idx="44">
                  <c:v>-0.51916269999999998</c:v>
                </c:pt>
                <c:pt idx="45">
                  <c:v>-0.51925529999999998</c:v>
                </c:pt>
                <c:pt idx="46">
                  <c:v>-0.52095440000000004</c:v>
                </c:pt>
                <c:pt idx="47">
                  <c:v>-0.52100080000000004</c:v>
                </c:pt>
                <c:pt idx="48">
                  <c:v>-0.52181840000000002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5D8-4778-B5A9-113B0215DB28}"/>
            </c:ext>
          </c:extLst>
        </c:ser>
        <c:ser>
          <c:idx val="0"/>
          <c:order val="1"/>
          <c:tx>
            <c:v>penalty-1e2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Sheet1!$AK$2:$AK$50</c:f>
              <c:numCache>
                <c:formatCode>General</c:formatCode>
                <c:ptCount val="49"/>
                <c:pt idx="0">
                  <c:v>0</c:v>
                </c:pt>
                <c:pt idx="1">
                  <c:v>1.2E-2</c:v>
                </c:pt>
                <c:pt idx="2">
                  <c:v>3.3000000000000002E-2</c:v>
                </c:pt>
                <c:pt idx="3">
                  <c:v>3.9E-2</c:v>
                </c:pt>
                <c:pt idx="4">
                  <c:v>4.5999999999999999E-2</c:v>
                </c:pt>
                <c:pt idx="5">
                  <c:v>5.2999999999999999E-2</c:v>
                </c:pt>
                <c:pt idx="6">
                  <c:v>7.2999999999999995E-2</c:v>
                </c:pt>
                <c:pt idx="7">
                  <c:v>8.299999999999999E-2</c:v>
                </c:pt>
                <c:pt idx="8">
                  <c:v>0.09</c:v>
                </c:pt>
                <c:pt idx="9">
                  <c:v>9.7000000000000003E-2</c:v>
                </c:pt>
                <c:pt idx="10">
                  <c:v>0.10300000000000001</c:v>
                </c:pt>
                <c:pt idx="11">
                  <c:v>0.10900000000000001</c:v>
                </c:pt>
                <c:pt idx="12">
                  <c:v>0.11600000000000002</c:v>
                </c:pt>
                <c:pt idx="13">
                  <c:v>0.12300000000000003</c:v>
                </c:pt>
                <c:pt idx="14">
                  <c:v>0.13900000000000001</c:v>
                </c:pt>
                <c:pt idx="15">
                  <c:v>0.14700000000000002</c:v>
                </c:pt>
                <c:pt idx="16">
                  <c:v>0.15400000000000003</c:v>
                </c:pt>
                <c:pt idx="17">
                  <c:v>0.16100000000000003</c:v>
                </c:pt>
                <c:pt idx="18">
                  <c:v>0.16900000000000004</c:v>
                </c:pt>
                <c:pt idx="19">
                  <c:v>0.18000000000000005</c:v>
                </c:pt>
                <c:pt idx="20">
                  <c:v>0.18700000000000006</c:v>
                </c:pt>
                <c:pt idx="21">
                  <c:v>0.19400000000000006</c:v>
                </c:pt>
                <c:pt idx="22">
                  <c:v>0.20200000000000007</c:v>
                </c:pt>
                <c:pt idx="23">
                  <c:v>0.20900000000000007</c:v>
                </c:pt>
                <c:pt idx="24">
                  <c:v>0.22300000000000009</c:v>
                </c:pt>
                <c:pt idx="25">
                  <c:v>0.22900000000000009</c:v>
                </c:pt>
                <c:pt idx="26">
                  <c:v>0.2350000000000001</c:v>
                </c:pt>
                <c:pt idx="27">
                  <c:v>0.2410000000000001</c:v>
                </c:pt>
                <c:pt idx="28">
                  <c:v>0.24700000000000011</c:v>
                </c:pt>
                <c:pt idx="29">
                  <c:v>0.25300000000000011</c:v>
                </c:pt>
                <c:pt idx="30">
                  <c:v>0.25900000000000012</c:v>
                </c:pt>
                <c:pt idx="31">
                  <c:v>0.26600000000000013</c:v>
                </c:pt>
                <c:pt idx="32">
                  <c:v>0.27300000000000013</c:v>
                </c:pt>
                <c:pt idx="33">
                  <c:v>0.28000000000000014</c:v>
                </c:pt>
                <c:pt idx="34">
                  <c:v>0.28700000000000014</c:v>
                </c:pt>
                <c:pt idx="35">
                  <c:v>0.29300000000000015</c:v>
                </c:pt>
                <c:pt idx="36">
                  <c:v>0.29900000000000015</c:v>
                </c:pt>
                <c:pt idx="37">
                  <c:v>0.30500000000000016</c:v>
                </c:pt>
                <c:pt idx="38">
                  <c:v>0.31300000000000017</c:v>
                </c:pt>
                <c:pt idx="39">
                  <c:v>0.32000000000000017</c:v>
                </c:pt>
                <c:pt idx="40">
                  <c:v>0.32800000000000018</c:v>
                </c:pt>
                <c:pt idx="41">
                  <c:v>0.33800000000000019</c:v>
                </c:pt>
                <c:pt idx="42">
                  <c:v>0.34400000000000019</c:v>
                </c:pt>
                <c:pt idx="43">
                  <c:v>0.3540000000000002</c:v>
                </c:pt>
                <c:pt idx="44">
                  <c:v>0.36200000000000021</c:v>
                </c:pt>
                <c:pt idx="45">
                  <c:v>0.37100000000000022</c:v>
                </c:pt>
                <c:pt idx="46">
                  <c:v>0.39000000000000024</c:v>
                </c:pt>
                <c:pt idx="47">
                  <c:v>0.40400000000000025</c:v>
                </c:pt>
                <c:pt idx="48">
                  <c:v>0.41900000000000026</c:v>
                </c:pt>
              </c:numCache>
            </c:numRef>
          </c:xVal>
          <c:yVal>
            <c:numRef>
              <c:f>Sheet1!$AH$2:$AH$50</c:f>
              <c:numCache>
                <c:formatCode>0.00E+00</c:formatCode>
                <c:ptCount val="49"/>
                <c:pt idx="0">
                  <c:v>-0.47130699999999998</c:v>
                </c:pt>
                <c:pt idx="1">
                  <c:v>-0.54504940000000002</c:v>
                </c:pt>
                <c:pt idx="2">
                  <c:v>-0.54897229999999997</c:v>
                </c:pt>
                <c:pt idx="3">
                  <c:v>-0.54901339999999998</c:v>
                </c:pt>
                <c:pt idx="4">
                  <c:v>-0.5490313</c:v>
                </c:pt>
                <c:pt idx="5">
                  <c:v>-0.54903939999999996</c:v>
                </c:pt>
                <c:pt idx="6">
                  <c:v>-0.54904319999999995</c:v>
                </c:pt>
                <c:pt idx="7">
                  <c:v>-0.54904500000000001</c:v>
                </c:pt>
                <c:pt idx="8">
                  <c:v>-0.54904580000000003</c:v>
                </c:pt>
                <c:pt idx="9">
                  <c:v>-0.54904620000000004</c:v>
                </c:pt>
                <c:pt idx="10">
                  <c:v>-0.54904640000000005</c:v>
                </c:pt>
                <c:pt idx="11">
                  <c:v>-0.54904649999999999</c:v>
                </c:pt>
                <c:pt idx="12">
                  <c:v>-0.54904660000000005</c:v>
                </c:pt>
                <c:pt idx="13">
                  <c:v>-0.54904660000000005</c:v>
                </c:pt>
                <c:pt idx="14">
                  <c:v>-0.54904660000000005</c:v>
                </c:pt>
                <c:pt idx="15">
                  <c:v>-0.54904660000000005</c:v>
                </c:pt>
                <c:pt idx="16">
                  <c:v>-0.54904660000000005</c:v>
                </c:pt>
                <c:pt idx="17">
                  <c:v>-0.54904660000000005</c:v>
                </c:pt>
                <c:pt idx="18">
                  <c:v>-0.54904660000000005</c:v>
                </c:pt>
                <c:pt idx="19">
                  <c:v>-0.54904660000000005</c:v>
                </c:pt>
                <c:pt idx="20">
                  <c:v>-0.54904660000000005</c:v>
                </c:pt>
                <c:pt idx="21">
                  <c:v>-0.54904660000000005</c:v>
                </c:pt>
                <c:pt idx="22">
                  <c:v>-0.54904660000000005</c:v>
                </c:pt>
                <c:pt idx="23">
                  <c:v>-0.54904660000000005</c:v>
                </c:pt>
                <c:pt idx="24">
                  <c:v>-0.54904660000000005</c:v>
                </c:pt>
                <c:pt idx="25">
                  <c:v>-0.54904660000000005</c:v>
                </c:pt>
                <c:pt idx="26">
                  <c:v>-0.54904660000000005</c:v>
                </c:pt>
                <c:pt idx="27">
                  <c:v>-0.54904660000000005</c:v>
                </c:pt>
                <c:pt idx="28">
                  <c:v>-0.54904660000000005</c:v>
                </c:pt>
                <c:pt idx="29">
                  <c:v>-0.54904660000000005</c:v>
                </c:pt>
                <c:pt idx="30">
                  <c:v>-0.54904660000000005</c:v>
                </c:pt>
                <c:pt idx="31">
                  <c:v>-0.54904660000000005</c:v>
                </c:pt>
                <c:pt idx="32">
                  <c:v>-0.54904660000000005</c:v>
                </c:pt>
                <c:pt idx="33">
                  <c:v>-0.54904660000000005</c:v>
                </c:pt>
                <c:pt idx="34">
                  <c:v>-0.54904660000000005</c:v>
                </c:pt>
                <c:pt idx="35">
                  <c:v>-0.54904660000000005</c:v>
                </c:pt>
                <c:pt idx="36">
                  <c:v>-0.54904660000000005</c:v>
                </c:pt>
                <c:pt idx="37">
                  <c:v>-0.54904660000000005</c:v>
                </c:pt>
                <c:pt idx="38">
                  <c:v>-0.54904660000000005</c:v>
                </c:pt>
                <c:pt idx="39">
                  <c:v>-0.54904660000000005</c:v>
                </c:pt>
                <c:pt idx="40">
                  <c:v>-0.54904660000000005</c:v>
                </c:pt>
                <c:pt idx="41">
                  <c:v>-0.54904660000000005</c:v>
                </c:pt>
                <c:pt idx="42">
                  <c:v>-0.54904660000000005</c:v>
                </c:pt>
                <c:pt idx="43">
                  <c:v>-0.54904660000000005</c:v>
                </c:pt>
                <c:pt idx="44">
                  <c:v>-0.54904660000000005</c:v>
                </c:pt>
                <c:pt idx="45">
                  <c:v>-0.54904660000000005</c:v>
                </c:pt>
                <c:pt idx="46">
                  <c:v>-0.54904660000000005</c:v>
                </c:pt>
                <c:pt idx="47">
                  <c:v>-0.54904660000000005</c:v>
                </c:pt>
                <c:pt idx="48">
                  <c:v>-0.54904660000000005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5D8-4778-B5A9-113B0215DB28}"/>
            </c:ext>
          </c:extLst>
        </c:ser>
        <c:ser>
          <c:idx val="1"/>
          <c:order val="2"/>
          <c:tx>
            <c:v>ours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Sheet1!$R$2:$R$9</c:f>
              <c:numCache>
                <c:formatCode>General</c:formatCode>
                <c:ptCount val="8"/>
                <c:pt idx="0">
                  <c:v>0</c:v>
                </c:pt>
                <c:pt idx="1">
                  <c:v>1.7999999999999999E-2</c:v>
                </c:pt>
                <c:pt idx="2">
                  <c:v>3.1E-2</c:v>
                </c:pt>
                <c:pt idx="3">
                  <c:v>4.1000000000000002E-2</c:v>
                </c:pt>
                <c:pt idx="4">
                  <c:v>4.8000000000000001E-2</c:v>
                </c:pt>
                <c:pt idx="5">
                  <c:v>5.2999999999999999E-2</c:v>
                </c:pt>
                <c:pt idx="6">
                  <c:v>5.7999999999999996E-2</c:v>
                </c:pt>
                <c:pt idx="7">
                  <c:v>6.2E-2</c:v>
                </c:pt>
              </c:numCache>
            </c:numRef>
          </c:xVal>
          <c:yVal>
            <c:numRef>
              <c:f>Sheet1!$S$2:$S$9</c:f>
              <c:numCache>
                <c:formatCode>0.0000000E+00</c:formatCode>
                <c:ptCount val="8"/>
                <c:pt idx="0">
                  <c:v>-0.47123999999999999</c:v>
                </c:pt>
                <c:pt idx="1">
                  <c:v>-0.53728609999999999</c:v>
                </c:pt>
                <c:pt idx="2">
                  <c:v>-0.53928790000000004</c:v>
                </c:pt>
                <c:pt idx="3">
                  <c:v>-0.5392979</c:v>
                </c:pt>
                <c:pt idx="4">
                  <c:v>-0.53929800000000006</c:v>
                </c:pt>
                <c:pt idx="5">
                  <c:v>-0.53929800000000006</c:v>
                </c:pt>
                <c:pt idx="6">
                  <c:v>-0.53929800000000006</c:v>
                </c:pt>
                <c:pt idx="7">
                  <c:v>-0.53929800000000006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5D8-4778-B5A9-113B0215D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54944"/>
        <c:axId val="412749067"/>
      </c:scatterChart>
      <c:valAx>
        <c:axId val="976154944"/>
        <c:scaling>
          <c:orientation val="minMax"/>
          <c:max val="0.45"/>
          <c:min val="0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25400">
            <a:solidFill>
              <a:schemeClr val="tx1"/>
            </a:solidFill>
          </a:ln>
        </c:spPr>
        <c:crossAx val="412749067"/>
        <c:crossesAt val="-0.56000000000000005"/>
        <c:crossBetween val="midCat"/>
        <c:majorUnit val="9.0000000000000024E-2"/>
      </c:valAx>
      <c:valAx>
        <c:axId val="412749067"/>
        <c:scaling>
          <c:orientation val="minMax"/>
          <c:min val="-0.56000000000000005"/>
        </c:scaling>
        <c:delete val="0"/>
        <c:axPos val="l"/>
        <c:numFmt formatCode="0.00E+00" sourceLinked="0"/>
        <c:majorTickMark val="in"/>
        <c:minorTickMark val="none"/>
        <c:tickLblPos val="nextTo"/>
        <c:spPr>
          <a:ln w="25400">
            <a:solidFill>
              <a:schemeClr val="tx1"/>
            </a:solidFill>
          </a:ln>
        </c:spPr>
        <c:crossAx val="976154944"/>
        <c:crossesAt val="0"/>
        <c:crossBetween val="midCat"/>
        <c:majorUnit val="2.5000000000000005E-2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0543920610911897"/>
          <c:y val="2.0254225079196147E-2"/>
          <c:w val="0.28811020914327501"/>
          <c:h val="0.48666118402691205"/>
        </c:manualLayout>
      </c:layout>
      <c:overlay val="1"/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v>penalty-1e9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yVal>
            <c:numRef>
              <c:f>Sheet1!$V$2:$V$50</c:f>
              <c:numCache>
                <c:formatCode>0.00E+00</c:formatCode>
                <c:ptCount val="49"/>
                <c:pt idx="0">
                  <c:v>-0.47130699999999998</c:v>
                </c:pt>
                <c:pt idx="1">
                  <c:v>-0.47142060000000002</c:v>
                </c:pt>
                <c:pt idx="2">
                  <c:v>-0.47167589999999998</c:v>
                </c:pt>
                <c:pt idx="3">
                  <c:v>-0.47494730000000002</c:v>
                </c:pt>
                <c:pt idx="4">
                  <c:v>-0.47500829999999999</c:v>
                </c:pt>
                <c:pt idx="5">
                  <c:v>-0.47519359999999999</c:v>
                </c:pt>
                <c:pt idx="6">
                  <c:v>-0.47611759999999997</c:v>
                </c:pt>
                <c:pt idx="7">
                  <c:v>-0.47647529999999999</c:v>
                </c:pt>
                <c:pt idx="8">
                  <c:v>-0.48008190000000001</c:v>
                </c:pt>
                <c:pt idx="9">
                  <c:v>-0.48027449999999999</c:v>
                </c:pt>
                <c:pt idx="10">
                  <c:v>-0.48049829999999999</c:v>
                </c:pt>
                <c:pt idx="11">
                  <c:v>-0.48089520000000002</c:v>
                </c:pt>
                <c:pt idx="12">
                  <c:v>-0.48306480000000002</c:v>
                </c:pt>
                <c:pt idx="13">
                  <c:v>-0.48337999999999998</c:v>
                </c:pt>
                <c:pt idx="14">
                  <c:v>-0.48431669999999999</c:v>
                </c:pt>
                <c:pt idx="15">
                  <c:v>-0.48467270000000001</c:v>
                </c:pt>
                <c:pt idx="16">
                  <c:v>-0.48732730000000002</c:v>
                </c:pt>
                <c:pt idx="17">
                  <c:v>-0.49258400000000002</c:v>
                </c:pt>
                <c:pt idx="18">
                  <c:v>-0.49266500000000002</c:v>
                </c:pt>
                <c:pt idx="19">
                  <c:v>-0.4930291</c:v>
                </c:pt>
                <c:pt idx="20">
                  <c:v>-0.49304189999999998</c:v>
                </c:pt>
                <c:pt idx="21">
                  <c:v>-0.49833270000000002</c:v>
                </c:pt>
                <c:pt idx="22">
                  <c:v>-0.49856850000000003</c:v>
                </c:pt>
                <c:pt idx="23">
                  <c:v>-0.49888009999999999</c:v>
                </c:pt>
                <c:pt idx="24">
                  <c:v>-0.5028589</c:v>
                </c:pt>
                <c:pt idx="25">
                  <c:v>-0.50297820000000004</c:v>
                </c:pt>
                <c:pt idx="26">
                  <c:v>-0.50330920000000001</c:v>
                </c:pt>
                <c:pt idx="27">
                  <c:v>-0.50534990000000002</c:v>
                </c:pt>
                <c:pt idx="28">
                  <c:v>-0.50538349999999999</c:v>
                </c:pt>
                <c:pt idx="29">
                  <c:v>-0.50614619999999999</c:v>
                </c:pt>
                <c:pt idx="30">
                  <c:v>-0.50641599999999998</c:v>
                </c:pt>
                <c:pt idx="31">
                  <c:v>-0.50826260000000001</c:v>
                </c:pt>
                <c:pt idx="32">
                  <c:v>-0.50830569999999997</c:v>
                </c:pt>
                <c:pt idx="33">
                  <c:v>-0.50945720000000005</c:v>
                </c:pt>
                <c:pt idx="34">
                  <c:v>-0.50971869999999997</c:v>
                </c:pt>
                <c:pt idx="35">
                  <c:v>-0.51132359999999999</c:v>
                </c:pt>
                <c:pt idx="36">
                  <c:v>-0.51137310000000002</c:v>
                </c:pt>
                <c:pt idx="37">
                  <c:v>-0.51250300000000004</c:v>
                </c:pt>
                <c:pt idx="38">
                  <c:v>-0.51250620000000002</c:v>
                </c:pt>
                <c:pt idx="39">
                  <c:v>-0.51482019999999995</c:v>
                </c:pt>
                <c:pt idx="40">
                  <c:v>-0.51488909999999999</c:v>
                </c:pt>
                <c:pt idx="41">
                  <c:v>-0.51556900000000006</c:v>
                </c:pt>
                <c:pt idx="42">
                  <c:v>-0.51695190000000002</c:v>
                </c:pt>
                <c:pt idx="43">
                  <c:v>-0.51706569999999996</c:v>
                </c:pt>
                <c:pt idx="44">
                  <c:v>-0.51916269999999998</c:v>
                </c:pt>
                <c:pt idx="45">
                  <c:v>-0.51925529999999998</c:v>
                </c:pt>
                <c:pt idx="46">
                  <c:v>-0.52095440000000004</c:v>
                </c:pt>
                <c:pt idx="47">
                  <c:v>-0.52100080000000004</c:v>
                </c:pt>
                <c:pt idx="48">
                  <c:v>-0.52181840000000002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5B-4892-B140-768AB13358A7}"/>
            </c:ext>
          </c:extLst>
        </c:ser>
        <c:ser>
          <c:idx val="3"/>
          <c:order val="1"/>
          <c:tx>
            <c:v>penalty-1e2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yVal>
            <c:numRef>
              <c:f>Sheet1!$AH$2:$AH$50</c:f>
              <c:numCache>
                <c:formatCode>0.00E+00</c:formatCode>
                <c:ptCount val="49"/>
                <c:pt idx="0">
                  <c:v>-0.47130699999999998</c:v>
                </c:pt>
                <c:pt idx="1">
                  <c:v>-0.54504940000000002</c:v>
                </c:pt>
                <c:pt idx="2">
                  <c:v>-0.54897229999999997</c:v>
                </c:pt>
                <c:pt idx="3">
                  <c:v>-0.54901339999999998</c:v>
                </c:pt>
                <c:pt idx="4">
                  <c:v>-0.5490313</c:v>
                </c:pt>
                <c:pt idx="5">
                  <c:v>-0.54903939999999996</c:v>
                </c:pt>
                <c:pt idx="6">
                  <c:v>-0.54904319999999995</c:v>
                </c:pt>
                <c:pt idx="7">
                  <c:v>-0.54904500000000001</c:v>
                </c:pt>
                <c:pt idx="8">
                  <c:v>-0.54904580000000003</c:v>
                </c:pt>
                <c:pt idx="9">
                  <c:v>-0.54904620000000004</c:v>
                </c:pt>
                <c:pt idx="10">
                  <c:v>-0.54904640000000005</c:v>
                </c:pt>
                <c:pt idx="11">
                  <c:v>-0.54904649999999999</c:v>
                </c:pt>
                <c:pt idx="12">
                  <c:v>-0.54904660000000005</c:v>
                </c:pt>
                <c:pt idx="13">
                  <c:v>-0.54904660000000005</c:v>
                </c:pt>
                <c:pt idx="14">
                  <c:v>-0.54904660000000005</c:v>
                </c:pt>
                <c:pt idx="15">
                  <c:v>-0.54904660000000005</c:v>
                </c:pt>
                <c:pt idx="16">
                  <c:v>-0.54904660000000005</c:v>
                </c:pt>
                <c:pt idx="17">
                  <c:v>-0.54904660000000005</c:v>
                </c:pt>
                <c:pt idx="18">
                  <c:v>-0.54904660000000005</c:v>
                </c:pt>
                <c:pt idx="19">
                  <c:v>-0.54904660000000005</c:v>
                </c:pt>
                <c:pt idx="20">
                  <c:v>-0.54904660000000005</c:v>
                </c:pt>
                <c:pt idx="21">
                  <c:v>-0.54904660000000005</c:v>
                </c:pt>
                <c:pt idx="22">
                  <c:v>-0.54904660000000005</c:v>
                </c:pt>
                <c:pt idx="23">
                  <c:v>-0.54904660000000005</c:v>
                </c:pt>
                <c:pt idx="24">
                  <c:v>-0.54904660000000005</c:v>
                </c:pt>
                <c:pt idx="25">
                  <c:v>-0.54904660000000005</c:v>
                </c:pt>
                <c:pt idx="26">
                  <c:v>-0.54904660000000005</c:v>
                </c:pt>
                <c:pt idx="27">
                  <c:v>-0.54904660000000005</c:v>
                </c:pt>
                <c:pt idx="28">
                  <c:v>-0.54904660000000005</c:v>
                </c:pt>
                <c:pt idx="29">
                  <c:v>-0.54904660000000005</c:v>
                </c:pt>
                <c:pt idx="30">
                  <c:v>-0.54904660000000005</c:v>
                </c:pt>
                <c:pt idx="31">
                  <c:v>-0.54904660000000005</c:v>
                </c:pt>
                <c:pt idx="32">
                  <c:v>-0.54904660000000005</c:v>
                </c:pt>
                <c:pt idx="33">
                  <c:v>-0.54904660000000005</c:v>
                </c:pt>
                <c:pt idx="34">
                  <c:v>-0.54904660000000005</c:v>
                </c:pt>
                <c:pt idx="35">
                  <c:v>-0.54904660000000005</c:v>
                </c:pt>
                <c:pt idx="36">
                  <c:v>-0.54904660000000005</c:v>
                </c:pt>
                <c:pt idx="37">
                  <c:v>-0.54904660000000005</c:v>
                </c:pt>
                <c:pt idx="38">
                  <c:v>-0.54904660000000005</c:v>
                </c:pt>
                <c:pt idx="39">
                  <c:v>-0.54904660000000005</c:v>
                </c:pt>
                <c:pt idx="40">
                  <c:v>-0.54904660000000005</c:v>
                </c:pt>
                <c:pt idx="41">
                  <c:v>-0.54904660000000005</c:v>
                </c:pt>
                <c:pt idx="42">
                  <c:v>-0.54904660000000005</c:v>
                </c:pt>
                <c:pt idx="43">
                  <c:v>-0.54904660000000005</c:v>
                </c:pt>
                <c:pt idx="44">
                  <c:v>-0.54904660000000005</c:v>
                </c:pt>
                <c:pt idx="45">
                  <c:v>-0.54904660000000005</c:v>
                </c:pt>
                <c:pt idx="46">
                  <c:v>-0.54904660000000005</c:v>
                </c:pt>
                <c:pt idx="47">
                  <c:v>-0.54904660000000005</c:v>
                </c:pt>
                <c:pt idx="48">
                  <c:v>-0.54904660000000005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5B-4892-B140-768AB13358A7}"/>
            </c:ext>
          </c:extLst>
        </c:ser>
        <c:ser>
          <c:idx val="0"/>
          <c:order val="2"/>
          <c:tx>
            <c:v>ours</c:v>
          </c:tx>
          <c:marker>
            <c:symbol val="none"/>
          </c:marker>
          <c:yVal>
            <c:numRef>
              <c:f>Sheet1!$J$2:$J$9</c:f>
              <c:numCache>
                <c:formatCode>0.0000000E+00</c:formatCode>
                <c:ptCount val="8"/>
                <c:pt idx="0">
                  <c:v>-0.47123999999999999</c:v>
                </c:pt>
                <c:pt idx="1">
                  <c:v>-0.53728609999999999</c:v>
                </c:pt>
                <c:pt idx="2">
                  <c:v>-0.53928790000000004</c:v>
                </c:pt>
                <c:pt idx="3">
                  <c:v>-0.5392979</c:v>
                </c:pt>
                <c:pt idx="4">
                  <c:v>-0.53929800000000006</c:v>
                </c:pt>
                <c:pt idx="5">
                  <c:v>-0.53929800000000006</c:v>
                </c:pt>
                <c:pt idx="6">
                  <c:v>-0.53929800000000006</c:v>
                </c:pt>
                <c:pt idx="7">
                  <c:v>-0.53929800000000006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5B-4892-B140-768AB1335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154944"/>
        <c:axId val="412749067"/>
      </c:scatterChart>
      <c:valAx>
        <c:axId val="976154944"/>
        <c:scaling>
          <c:orientation val="minMax"/>
          <c:max val="51"/>
          <c:min val="1"/>
        </c:scaling>
        <c:delete val="0"/>
        <c:axPos val="b"/>
        <c:majorTickMark val="in"/>
        <c:minorTickMark val="none"/>
        <c:tickLblPos val="none"/>
        <c:spPr>
          <a:ln w="25400">
            <a:solidFill>
              <a:schemeClr val="tx1"/>
            </a:solidFill>
          </a:ln>
        </c:spPr>
        <c:crossAx val="412749067"/>
        <c:crossesAt val="-0.56000000000000005"/>
        <c:crossBetween val="midCat"/>
        <c:majorUnit val="10"/>
      </c:valAx>
      <c:valAx>
        <c:axId val="412749067"/>
        <c:scaling>
          <c:orientation val="minMax"/>
          <c:min val="-0.56000000000000005"/>
        </c:scaling>
        <c:delete val="0"/>
        <c:axPos val="l"/>
        <c:numFmt formatCode="0.00E+00" sourceLinked="0"/>
        <c:majorTickMark val="in"/>
        <c:minorTickMark val="none"/>
        <c:tickLblPos val="none"/>
        <c:spPr>
          <a:ln w="25400">
            <a:solidFill>
              <a:schemeClr val="tx1"/>
            </a:solidFill>
          </a:ln>
        </c:spPr>
        <c:crossAx val="976154944"/>
        <c:crossesAt val="0"/>
        <c:crossBetween val="midCat"/>
        <c:majorUnit val="2.5000000000000005E-2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0543920610911897"/>
          <c:y val="2.0254225079196147E-2"/>
          <c:w val="0.28811020914327501"/>
          <c:h val="0.48666118402691205"/>
        </c:manualLayout>
      </c:layout>
      <c:overlay val="1"/>
    </c:legend>
    <c:plotVisOnly val="1"/>
    <c:dispBlanksAs val="gap"/>
    <c:showDLblsOverMax val="0"/>
  </c:chart>
  <c:spPr>
    <a:ln w="25400">
      <a:noFill/>
    </a:ln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669925</xdr:colOff>
      <xdr:row>24</xdr:row>
      <xdr:rowOff>86360</xdr:rowOff>
    </xdr:from>
    <xdr:to>
      <xdr:col>13</xdr:col>
      <xdr:colOff>19707</xdr:colOff>
      <xdr:row>32</xdr:row>
      <xdr:rowOff>111673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364248</xdr:colOff>
      <xdr:row>9</xdr:row>
      <xdr:rowOff>168427</xdr:rowOff>
    </xdr:from>
    <xdr:to>
      <xdr:col>12</xdr:col>
      <xdr:colOff>282465</xdr:colOff>
      <xdr:row>20</xdr:row>
      <xdr:rowOff>170792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tabSelected="1" topLeftCell="C10" zoomScale="145" zoomScaleNormal="145" workbookViewId="0">
      <selection activeCell="N20" sqref="N20"/>
    </sheetView>
  </sheetViews>
  <sheetFormatPr defaultColWidth="8.75" defaultRowHeight="13.5" x14ac:dyDescent="0.15"/>
  <cols>
    <col min="2" max="2" width="23.875" style="1" customWidth="1"/>
    <col min="10" max="10" width="22.125" customWidth="1"/>
    <col min="11" max="11" width="9"/>
    <col min="16" max="16" width="9"/>
    <col min="19" max="19" width="16.125" customWidth="1"/>
    <col min="26" max="26" width="9"/>
    <col min="28" max="28" width="9"/>
  </cols>
  <sheetData>
    <row r="1" spans="1:37" x14ac:dyDescent="0.15">
      <c r="A1" t="s">
        <v>0</v>
      </c>
      <c r="B1" s="1" t="s">
        <v>1</v>
      </c>
      <c r="D1" t="s">
        <v>2</v>
      </c>
      <c r="E1" t="s">
        <v>3</v>
      </c>
      <c r="I1" t="s">
        <v>4</v>
      </c>
      <c r="J1" t="s">
        <v>5</v>
      </c>
      <c r="Q1" t="s">
        <v>2</v>
      </c>
      <c r="R1" t="s">
        <v>3</v>
      </c>
      <c r="U1" t="s">
        <v>6</v>
      </c>
      <c r="V1" t="s">
        <v>7</v>
      </c>
      <c r="AC1" t="s">
        <v>2</v>
      </c>
      <c r="AD1" t="s">
        <v>3</v>
      </c>
      <c r="AG1" t="s">
        <v>8</v>
      </c>
      <c r="AH1" t="s">
        <v>9</v>
      </c>
      <c r="AJ1" t="s">
        <v>2</v>
      </c>
      <c r="AK1" t="s">
        <v>3</v>
      </c>
    </row>
    <row r="2" spans="1:37" x14ac:dyDescent="0.15">
      <c r="A2">
        <v>0</v>
      </c>
      <c r="B2" s="1">
        <v>-0.47130699999999998</v>
      </c>
      <c r="C2" s="2">
        <v>3.9876700000000001E-2</v>
      </c>
      <c r="D2">
        <v>2.5000000000000001E-2</v>
      </c>
      <c r="E2">
        <v>0</v>
      </c>
      <c r="I2">
        <v>0</v>
      </c>
      <c r="J2" s="3">
        <v>-0.47123999999999999</v>
      </c>
      <c r="K2" s="2">
        <v>8.0237739999999995</v>
      </c>
      <c r="L2">
        <v>14</v>
      </c>
      <c r="N2" s="2">
        <v>2.5610000000000001E-16</v>
      </c>
      <c r="O2">
        <v>1</v>
      </c>
      <c r="P2" s="2">
        <v>0</v>
      </c>
      <c r="Q2">
        <v>1.7999999999999999E-2</v>
      </c>
      <c r="R2">
        <v>0</v>
      </c>
      <c r="S2" s="3">
        <f>J2</f>
        <v>-0.47123999999999999</v>
      </c>
      <c r="U2">
        <v>0</v>
      </c>
      <c r="V2" s="2">
        <v>-0.47130699999999998</v>
      </c>
      <c r="W2" s="2">
        <v>3.9876670000000003E-2</v>
      </c>
      <c r="X2" t="s">
        <v>10</v>
      </c>
      <c r="Z2" s="2">
        <v>37.61</v>
      </c>
      <c r="AA2">
        <v>1.4999999999999999E-2</v>
      </c>
      <c r="AB2" s="2">
        <v>0</v>
      </c>
      <c r="AC2">
        <v>3.2000000000000001E-2</v>
      </c>
      <c r="AD2">
        <v>0</v>
      </c>
      <c r="AG2">
        <v>0</v>
      </c>
      <c r="AH2" s="2">
        <v>-0.47130699999999998</v>
      </c>
      <c r="AI2" s="2">
        <v>3.9876700000000001E-2</v>
      </c>
      <c r="AJ2">
        <v>1.2E-2</v>
      </c>
      <c r="AK2">
        <v>0</v>
      </c>
    </row>
    <row r="3" spans="1:37" x14ac:dyDescent="0.15">
      <c r="A3">
        <v>1</v>
      </c>
      <c r="B3" s="1">
        <v>-0.47588989999999998</v>
      </c>
      <c r="C3" s="2">
        <v>375619.9</v>
      </c>
      <c r="D3">
        <v>7.0000000000000001E-3</v>
      </c>
      <c r="E3">
        <f>E2+D2</f>
        <v>2.5000000000000001E-2</v>
      </c>
      <c r="I3">
        <v>1</v>
      </c>
      <c r="J3" s="3">
        <v>-0.53728609999999999</v>
      </c>
      <c r="K3" s="2">
        <v>1.1222559999999999E-2</v>
      </c>
      <c r="L3">
        <v>14</v>
      </c>
      <c r="N3" s="2">
        <v>2.2530000000000001E-15</v>
      </c>
      <c r="O3">
        <v>1</v>
      </c>
      <c r="P3" s="2">
        <v>5.2149999999999999E-16</v>
      </c>
      <c r="Q3">
        <v>1.2999999999999999E-2</v>
      </c>
      <c r="R3">
        <f>Q2+R2</f>
        <v>1.7999999999999999E-2</v>
      </c>
      <c r="S3" s="3">
        <f t="shared" ref="S3:S9" si="0">J3</f>
        <v>-0.53728609999999999</v>
      </c>
      <c r="U3">
        <v>1</v>
      </c>
      <c r="V3" s="2">
        <v>-0.47142060000000002</v>
      </c>
      <c r="W3" s="2">
        <v>54153170</v>
      </c>
      <c r="X3" t="s">
        <v>10</v>
      </c>
      <c r="Z3" s="2">
        <v>1.4219999999999999E-7</v>
      </c>
      <c r="AA3">
        <v>0.20599999999999999</v>
      </c>
      <c r="AB3" s="2">
        <v>2.4700000000000001E-19</v>
      </c>
      <c r="AC3">
        <v>8.0000000000000002E-3</v>
      </c>
      <c r="AD3">
        <f>AC2+AD2</f>
        <v>3.2000000000000001E-2</v>
      </c>
      <c r="AG3">
        <v>1</v>
      </c>
      <c r="AH3" s="2">
        <v>-0.54504940000000002</v>
      </c>
      <c r="AI3" s="2">
        <v>8.5633800000000004</v>
      </c>
      <c r="AJ3">
        <v>2.1000000000000001E-2</v>
      </c>
      <c r="AK3">
        <f>AJ2+AK2</f>
        <v>1.2E-2</v>
      </c>
    </row>
    <row r="4" spans="1:37" x14ac:dyDescent="0.15">
      <c r="A4">
        <v>2</v>
      </c>
      <c r="B4" s="1">
        <v>-0.47965210000000003</v>
      </c>
      <c r="C4" s="2">
        <v>203049.3</v>
      </c>
      <c r="D4">
        <v>7.0000000000000001E-3</v>
      </c>
      <c r="E4">
        <f>E3+D3</f>
        <v>3.2000000000000001E-2</v>
      </c>
      <c r="I4">
        <v>2</v>
      </c>
      <c r="J4" s="3">
        <v>-0.53928790000000004</v>
      </c>
      <c r="K4" s="2">
        <v>9.497779E-6</v>
      </c>
      <c r="L4">
        <v>15</v>
      </c>
      <c r="N4" s="2">
        <v>1.4210000000000001E-16</v>
      </c>
      <c r="O4">
        <v>1</v>
      </c>
      <c r="P4" s="2">
        <v>7.2939999999999996E-17</v>
      </c>
      <c r="Q4">
        <v>0.01</v>
      </c>
      <c r="R4">
        <f t="shared" ref="R4:R10" si="1">R3+Q3</f>
        <v>3.1E-2</v>
      </c>
      <c r="S4" s="3">
        <f t="shared" si="0"/>
        <v>-0.53928790000000004</v>
      </c>
      <c r="U4">
        <v>2</v>
      </c>
      <c r="V4" s="2">
        <v>-0.47167589999999998</v>
      </c>
      <c r="W4" s="2">
        <v>45984590</v>
      </c>
      <c r="X4" t="s">
        <v>10</v>
      </c>
      <c r="Z4" s="2">
        <v>1.681E-7</v>
      </c>
      <c r="AA4">
        <v>1</v>
      </c>
      <c r="AB4" s="2">
        <v>7.5130000000000004E-15</v>
      </c>
      <c r="AC4">
        <v>8.0000000000000002E-3</v>
      </c>
      <c r="AD4">
        <f>AD3+AC3</f>
        <v>0.04</v>
      </c>
      <c r="AG4">
        <v>2</v>
      </c>
      <c r="AH4" s="2">
        <v>-0.54897229999999997</v>
      </c>
      <c r="AI4" s="2">
        <v>3.6673750000000002E-4</v>
      </c>
      <c r="AJ4">
        <v>6.0000000000000001E-3</v>
      </c>
      <c r="AK4">
        <f>AK3+AJ3</f>
        <v>3.3000000000000002E-2</v>
      </c>
    </row>
    <row r="5" spans="1:37" x14ac:dyDescent="0.15">
      <c r="A5">
        <v>3</v>
      </c>
      <c r="B5" s="1">
        <v>-0.50905149999999999</v>
      </c>
      <c r="C5" s="2">
        <v>74107.95</v>
      </c>
      <c r="D5">
        <v>8.0000000000000002E-3</v>
      </c>
      <c r="E5">
        <f>E4+D4</f>
        <v>3.9E-2</v>
      </c>
      <c r="I5">
        <v>3</v>
      </c>
      <c r="J5" s="3">
        <v>-0.5392979</v>
      </c>
      <c r="K5" s="2">
        <v>2.7687560000000002E-8</v>
      </c>
      <c r="L5">
        <v>15</v>
      </c>
      <c r="N5" s="2">
        <v>4.2579999999999999E-16</v>
      </c>
      <c r="O5">
        <v>1</v>
      </c>
      <c r="P5" s="2">
        <v>5.47E-17</v>
      </c>
      <c r="Q5">
        <v>7.0000000000000001E-3</v>
      </c>
      <c r="R5">
        <f t="shared" si="1"/>
        <v>4.1000000000000002E-2</v>
      </c>
      <c r="S5" s="3">
        <f t="shared" si="0"/>
        <v>-0.5392979</v>
      </c>
      <c r="U5">
        <v>3</v>
      </c>
      <c r="V5" s="2">
        <v>-0.47494730000000002</v>
      </c>
      <c r="W5" s="2">
        <v>8538348</v>
      </c>
      <c r="X5" t="s">
        <v>10</v>
      </c>
      <c r="Z5" s="2">
        <v>8.6130000000000002E-7</v>
      </c>
      <c r="AA5">
        <v>9.8000000000000004E-2</v>
      </c>
      <c r="AB5" s="2">
        <v>2.2350000000000001E-14</v>
      </c>
      <c r="AC5">
        <v>7.0000000000000001E-3</v>
      </c>
      <c r="AD5">
        <f>AD4+AC4</f>
        <v>4.8000000000000001E-2</v>
      </c>
      <c r="AG5">
        <v>3</v>
      </c>
      <c r="AH5" s="2">
        <v>-0.54901339999999998</v>
      </c>
      <c r="AI5" s="2">
        <v>3.4925909999999998E-5</v>
      </c>
      <c r="AJ5">
        <v>7.0000000000000001E-3</v>
      </c>
      <c r="AK5">
        <f t="shared" ref="AK5:AK51" si="2">AK4+AJ4</f>
        <v>3.9E-2</v>
      </c>
    </row>
    <row r="6" spans="1:37" x14ac:dyDescent="0.15">
      <c r="A6">
        <v>4</v>
      </c>
      <c r="B6" s="1">
        <v>-0.51117400000000002</v>
      </c>
      <c r="C6" s="2">
        <v>93809.16</v>
      </c>
      <c r="D6">
        <v>8.9999999999999993E-3</v>
      </c>
      <c r="E6">
        <f t="shared" ref="E6:E51" si="3">E5+D5</f>
        <v>4.7E-2</v>
      </c>
      <c r="I6">
        <v>4</v>
      </c>
      <c r="J6" s="3">
        <v>-0.53929800000000006</v>
      </c>
      <c r="K6" s="2">
        <v>3.6781120000000002E-10</v>
      </c>
      <c r="L6">
        <v>15</v>
      </c>
      <c r="N6" s="2">
        <v>1.9180000000000001E-16</v>
      </c>
      <c r="O6">
        <v>1</v>
      </c>
      <c r="P6" s="2">
        <v>7.9029999999999999E-17</v>
      </c>
      <c r="Q6">
        <v>5.0000000000000001E-3</v>
      </c>
      <c r="R6">
        <f t="shared" si="1"/>
        <v>4.8000000000000001E-2</v>
      </c>
      <c r="S6" s="3">
        <f t="shared" si="0"/>
        <v>-0.53929800000000006</v>
      </c>
      <c r="U6">
        <v>4</v>
      </c>
      <c r="V6" s="2">
        <v>-0.47500829999999999</v>
      </c>
      <c r="W6" s="2">
        <v>17920130</v>
      </c>
      <c r="X6" t="s">
        <v>10</v>
      </c>
      <c r="Z6" s="2">
        <v>4.214E-7</v>
      </c>
      <c r="AA6">
        <v>0.9</v>
      </c>
      <c r="AB6" s="2">
        <v>2.0100000000000001E-14</v>
      </c>
      <c r="AC6">
        <v>7.0000000000000001E-3</v>
      </c>
      <c r="AD6">
        <f t="shared" ref="AD6:AD51" si="4">AD5+AC5</f>
        <v>5.5E-2</v>
      </c>
      <c r="AG6">
        <v>4</v>
      </c>
      <c r="AH6" s="2">
        <v>-0.5490313</v>
      </c>
      <c r="AI6" s="2">
        <v>1.511454E-5</v>
      </c>
      <c r="AJ6">
        <v>7.0000000000000001E-3</v>
      </c>
      <c r="AK6">
        <f t="shared" si="2"/>
        <v>4.5999999999999999E-2</v>
      </c>
    </row>
    <row r="7" spans="1:37" x14ac:dyDescent="0.15">
      <c r="A7">
        <v>5</v>
      </c>
      <c r="B7" s="1">
        <v>-0.52668970000000004</v>
      </c>
      <c r="C7" s="2">
        <v>53907.26</v>
      </c>
      <c r="D7">
        <v>1.0999999999999999E-2</v>
      </c>
      <c r="E7">
        <f t="shared" si="3"/>
        <v>5.6000000000000001E-2</v>
      </c>
      <c r="I7">
        <v>5</v>
      </c>
      <c r="J7" s="3">
        <v>-0.53929800000000006</v>
      </c>
      <c r="K7" s="2">
        <v>6.2858419999999997E-12</v>
      </c>
      <c r="L7">
        <v>15</v>
      </c>
      <c r="N7" s="2">
        <v>1.1540000000000001E-16</v>
      </c>
      <c r="O7">
        <v>1</v>
      </c>
      <c r="P7" s="2">
        <v>1.889E-17</v>
      </c>
      <c r="Q7">
        <v>5.0000000000000001E-3</v>
      </c>
      <c r="R7">
        <f t="shared" si="1"/>
        <v>5.2999999999999999E-2</v>
      </c>
      <c r="S7" s="3">
        <f t="shared" si="0"/>
        <v>-0.53929800000000006</v>
      </c>
      <c r="U7">
        <v>5</v>
      </c>
      <c r="V7" s="2">
        <v>-0.47519359999999999</v>
      </c>
      <c r="W7" s="2">
        <v>37598910</v>
      </c>
      <c r="X7" t="s">
        <v>10</v>
      </c>
      <c r="Z7" s="2">
        <v>1.9789999999999999E-7</v>
      </c>
      <c r="AA7">
        <v>1</v>
      </c>
      <c r="AB7" s="2">
        <v>2.2719999999999998E-15</v>
      </c>
      <c r="AC7">
        <v>6.0000000000000001E-3</v>
      </c>
      <c r="AD7">
        <f t="shared" si="4"/>
        <v>6.2E-2</v>
      </c>
      <c r="AG7">
        <v>5</v>
      </c>
      <c r="AH7" s="2">
        <v>-0.54903939999999996</v>
      </c>
      <c r="AI7" s="2">
        <v>6.9194759999999997E-6</v>
      </c>
      <c r="AJ7">
        <v>0.02</v>
      </c>
      <c r="AK7">
        <f t="shared" si="2"/>
        <v>5.2999999999999999E-2</v>
      </c>
    </row>
    <row r="8" spans="1:37" x14ac:dyDescent="0.15">
      <c r="A8">
        <v>6</v>
      </c>
      <c r="B8" s="1">
        <v>-0.52855039999999998</v>
      </c>
      <c r="C8" s="2">
        <v>46690.74</v>
      </c>
      <c r="D8">
        <v>7.0000000000000001E-3</v>
      </c>
      <c r="E8">
        <f t="shared" si="3"/>
        <v>6.7000000000000004E-2</v>
      </c>
      <c r="I8">
        <v>6</v>
      </c>
      <c r="J8" s="3">
        <v>-0.53929800000000006</v>
      </c>
      <c r="K8" s="2">
        <v>1.301768E-13</v>
      </c>
      <c r="L8">
        <v>15</v>
      </c>
      <c r="N8" s="2">
        <v>2.9850000000000002E-16</v>
      </c>
      <c r="O8">
        <v>1</v>
      </c>
      <c r="P8" s="2">
        <v>2.359E-16</v>
      </c>
      <c r="Q8">
        <v>4.0000000000000001E-3</v>
      </c>
      <c r="R8">
        <f t="shared" si="1"/>
        <v>5.7999999999999996E-2</v>
      </c>
      <c r="S8" s="3">
        <f t="shared" si="0"/>
        <v>-0.53929800000000006</v>
      </c>
      <c r="U8">
        <v>6</v>
      </c>
      <c r="V8" s="2">
        <v>-0.47611759999999997</v>
      </c>
      <c r="W8" s="2">
        <v>55605590</v>
      </c>
      <c r="X8" t="s">
        <v>10</v>
      </c>
      <c r="Z8" s="2">
        <v>1.2179999999999999E-7</v>
      </c>
      <c r="AA8">
        <v>0.08</v>
      </c>
      <c r="AB8" s="2">
        <v>6.8330000000000004E-15</v>
      </c>
      <c r="AC8">
        <v>8.9999999999999993E-3</v>
      </c>
      <c r="AD8">
        <f t="shared" si="4"/>
        <v>6.8000000000000005E-2</v>
      </c>
      <c r="AG8">
        <v>6</v>
      </c>
      <c r="AH8" s="2">
        <v>-0.54904319999999995</v>
      </c>
      <c r="AI8" s="2">
        <v>3.2428009999999999E-6</v>
      </c>
      <c r="AJ8">
        <v>0.01</v>
      </c>
      <c r="AK8">
        <f t="shared" si="2"/>
        <v>7.2999999999999995E-2</v>
      </c>
    </row>
    <row r="9" spans="1:37" x14ac:dyDescent="0.15">
      <c r="A9">
        <v>7</v>
      </c>
      <c r="B9" s="1">
        <v>-0.5356476</v>
      </c>
      <c r="C9" s="2">
        <v>54291.35</v>
      </c>
      <c r="D9">
        <v>2.1000000000000001E-2</v>
      </c>
      <c r="E9">
        <f t="shared" si="3"/>
        <v>7.400000000000001E-2</v>
      </c>
      <c r="I9">
        <v>7</v>
      </c>
      <c r="J9" s="3">
        <v>-0.53929800000000006</v>
      </c>
      <c r="K9" s="2">
        <v>2.5810219999999999E-15</v>
      </c>
      <c r="L9">
        <v>15</v>
      </c>
      <c r="N9" s="2">
        <v>1.6319999999999999E-16</v>
      </c>
      <c r="O9">
        <v>1</v>
      </c>
      <c r="P9" s="2">
        <v>8.0200000000000002E-17</v>
      </c>
      <c r="Q9">
        <v>4.0000000000000001E-3</v>
      </c>
      <c r="R9">
        <f t="shared" si="1"/>
        <v>6.2E-2</v>
      </c>
      <c r="S9" s="3">
        <f t="shared" si="0"/>
        <v>-0.53929800000000006</v>
      </c>
      <c r="U9">
        <v>7</v>
      </c>
      <c r="V9" s="2">
        <v>-0.47647529999999999</v>
      </c>
      <c r="W9" s="2">
        <v>64117550</v>
      </c>
      <c r="X9" t="s">
        <v>10</v>
      </c>
      <c r="Z9" s="2">
        <v>1.1389999999999999E-7</v>
      </c>
      <c r="AA9">
        <v>1</v>
      </c>
      <c r="AB9" s="2">
        <v>6.2060000000000003E-15</v>
      </c>
      <c r="AC9">
        <v>6.0000000000000001E-3</v>
      </c>
      <c r="AD9">
        <f t="shared" si="4"/>
        <v>7.6999999999999999E-2</v>
      </c>
      <c r="AG9">
        <v>7</v>
      </c>
      <c r="AH9" s="2">
        <v>-0.54904500000000001</v>
      </c>
      <c r="AI9" s="2">
        <v>1.54895E-6</v>
      </c>
      <c r="AJ9">
        <v>7.0000000000000001E-3</v>
      </c>
      <c r="AK9">
        <f t="shared" si="2"/>
        <v>8.299999999999999E-2</v>
      </c>
    </row>
    <row r="10" spans="1:37" x14ac:dyDescent="0.15">
      <c r="A10">
        <v>8</v>
      </c>
      <c r="B10" s="1">
        <v>-0.53978899999999996</v>
      </c>
      <c r="C10" s="2">
        <v>10641.99</v>
      </c>
      <c r="D10">
        <v>6.0000000000000001E-3</v>
      </c>
      <c r="E10">
        <f t="shared" si="3"/>
        <v>9.5000000000000015E-2</v>
      </c>
      <c r="R10">
        <f t="shared" si="1"/>
        <v>6.6000000000000003E-2</v>
      </c>
      <c r="U10">
        <v>8</v>
      </c>
      <c r="V10" s="2">
        <v>-0.48008190000000001</v>
      </c>
      <c r="W10" s="2">
        <v>169686800</v>
      </c>
      <c r="X10" t="s">
        <v>10</v>
      </c>
      <c r="Z10" s="2">
        <v>3.7590000000000001E-8</v>
      </c>
      <c r="AA10">
        <v>0.08</v>
      </c>
      <c r="AB10" s="2">
        <v>4.6580000000000004E-15</v>
      </c>
      <c r="AC10">
        <v>8.0000000000000002E-3</v>
      </c>
      <c r="AD10">
        <f t="shared" si="4"/>
        <v>8.3000000000000004E-2</v>
      </c>
      <c r="AG10">
        <v>8</v>
      </c>
      <c r="AH10" s="2">
        <v>-0.54904580000000003</v>
      </c>
      <c r="AI10" s="2">
        <v>7.5053199999999999E-7</v>
      </c>
      <c r="AJ10">
        <v>7.0000000000000001E-3</v>
      </c>
      <c r="AK10">
        <f t="shared" si="2"/>
        <v>0.09</v>
      </c>
    </row>
    <row r="11" spans="1:37" x14ac:dyDescent="0.15">
      <c r="A11">
        <v>9</v>
      </c>
      <c r="B11" s="1">
        <v>-0.54026160000000001</v>
      </c>
      <c r="C11" s="2">
        <v>90152.19</v>
      </c>
      <c r="D11">
        <v>6.0000000000000001E-3</v>
      </c>
      <c r="E11">
        <f t="shared" si="3"/>
        <v>0.10100000000000002</v>
      </c>
      <c r="U11">
        <v>9</v>
      </c>
      <c r="V11" s="2">
        <v>-0.48027449999999999</v>
      </c>
      <c r="W11" s="2">
        <v>160076100</v>
      </c>
      <c r="X11" t="s">
        <v>10</v>
      </c>
      <c r="Z11" s="2">
        <v>4.444E-8</v>
      </c>
      <c r="AA11">
        <v>1</v>
      </c>
      <c r="AB11" s="2">
        <v>3.7730000000000004E-15</v>
      </c>
      <c r="AC11">
        <v>7.0000000000000001E-3</v>
      </c>
      <c r="AD11">
        <f t="shared" si="4"/>
        <v>9.0999999999999998E-2</v>
      </c>
      <c r="AG11">
        <v>9</v>
      </c>
      <c r="AH11" s="2">
        <v>-0.54904620000000004</v>
      </c>
      <c r="AI11" s="2">
        <v>3.676309E-7</v>
      </c>
      <c r="AJ11">
        <v>6.0000000000000001E-3</v>
      </c>
      <c r="AK11">
        <f t="shared" si="2"/>
        <v>9.7000000000000003E-2</v>
      </c>
    </row>
    <row r="12" spans="1:37" x14ac:dyDescent="0.15">
      <c r="A12">
        <v>10</v>
      </c>
      <c r="B12" s="1">
        <v>-0.54441989999999996</v>
      </c>
      <c r="C12" s="2">
        <v>340.92059999999998</v>
      </c>
      <c r="D12">
        <v>6.0000000000000001E-3</v>
      </c>
      <c r="E12">
        <f t="shared" si="3"/>
        <v>0.10700000000000003</v>
      </c>
      <c r="U12">
        <v>10</v>
      </c>
      <c r="V12" s="2">
        <v>-0.48049829999999999</v>
      </c>
      <c r="W12" s="2">
        <v>628556400</v>
      </c>
      <c r="X12" t="s">
        <v>10</v>
      </c>
      <c r="Z12" s="2">
        <v>1.022E-8</v>
      </c>
      <c r="AA12">
        <v>7.1999999999999995E-2</v>
      </c>
      <c r="AB12" s="2">
        <v>3.2010000000000001E-15</v>
      </c>
      <c r="AC12">
        <v>8.0000000000000002E-3</v>
      </c>
      <c r="AD12">
        <f t="shared" si="4"/>
        <v>9.8000000000000004E-2</v>
      </c>
      <c r="AG12">
        <v>10</v>
      </c>
      <c r="AH12" s="2">
        <v>-0.54904640000000005</v>
      </c>
      <c r="AI12" s="2">
        <v>1.815833E-7</v>
      </c>
      <c r="AJ12">
        <v>6.0000000000000001E-3</v>
      </c>
      <c r="AK12">
        <f t="shared" si="2"/>
        <v>0.10300000000000001</v>
      </c>
    </row>
    <row r="13" spans="1:37" x14ac:dyDescent="0.15">
      <c r="A13">
        <v>11</v>
      </c>
      <c r="B13" s="1">
        <v>-0.54459630000000003</v>
      </c>
      <c r="C13" s="2">
        <v>51977.23</v>
      </c>
      <c r="D13">
        <v>6.0000000000000001E-3</v>
      </c>
      <c r="E13">
        <f t="shared" si="3"/>
        <v>0.11300000000000003</v>
      </c>
      <c r="U13">
        <v>11</v>
      </c>
      <c r="V13" s="2">
        <v>-0.48089520000000002</v>
      </c>
      <c r="W13" s="2">
        <v>682357200</v>
      </c>
      <c r="X13" t="s">
        <v>10</v>
      </c>
      <c r="Z13" s="2">
        <v>1.02E-8</v>
      </c>
      <c r="AA13">
        <v>1</v>
      </c>
      <c r="AB13" s="2">
        <v>3.241E-15</v>
      </c>
      <c r="AC13">
        <v>7.0000000000000001E-3</v>
      </c>
      <c r="AD13">
        <f t="shared" si="4"/>
        <v>0.10600000000000001</v>
      </c>
      <c r="AG13">
        <v>11</v>
      </c>
      <c r="AH13" s="2">
        <v>-0.54904649999999999</v>
      </c>
      <c r="AI13" s="2">
        <v>9.0273629999999999E-8</v>
      </c>
      <c r="AJ13">
        <v>7.0000000000000001E-3</v>
      </c>
      <c r="AK13">
        <f t="shared" si="2"/>
        <v>0.10900000000000001</v>
      </c>
    </row>
    <row r="14" spans="1:37" x14ac:dyDescent="0.15">
      <c r="A14">
        <v>12</v>
      </c>
      <c r="B14" s="1">
        <v>-0.54649829999999999</v>
      </c>
      <c r="C14" s="2">
        <v>573.28539999999998</v>
      </c>
      <c r="D14">
        <v>6.0000000000000001E-3</v>
      </c>
      <c r="E14">
        <f t="shared" si="3"/>
        <v>0.11900000000000004</v>
      </c>
      <c r="U14">
        <v>12</v>
      </c>
      <c r="V14" s="2">
        <v>-0.48306480000000002</v>
      </c>
      <c r="W14" s="2">
        <v>722128100</v>
      </c>
      <c r="X14" t="s">
        <v>10</v>
      </c>
      <c r="Z14" s="2">
        <v>8.4140000000000001E-9</v>
      </c>
      <c r="AA14">
        <v>5.8000000000000003E-2</v>
      </c>
      <c r="AB14" s="2">
        <v>3.156E-15</v>
      </c>
      <c r="AC14">
        <v>8.0000000000000002E-3</v>
      </c>
      <c r="AD14">
        <f t="shared" si="4"/>
        <v>0.11300000000000002</v>
      </c>
      <c r="AG14">
        <v>12</v>
      </c>
      <c r="AH14" s="2">
        <v>-0.54904660000000005</v>
      </c>
      <c r="AI14" s="2">
        <v>4.5110039999999998E-8</v>
      </c>
      <c r="AJ14">
        <v>7.0000000000000001E-3</v>
      </c>
      <c r="AK14">
        <f t="shared" si="2"/>
        <v>0.11600000000000002</v>
      </c>
    </row>
    <row r="15" spans="1:37" x14ac:dyDescent="0.15">
      <c r="A15">
        <v>13</v>
      </c>
      <c r="B15" s="1">
        <v>-0.54667940000000004</v>
      </c>
      <c r="C15" s="2">
        <v>26213.5</v>
      </c>
      <c r="D15">
        <v>5.0000000000000001E-3</v>
      </c>
      <c r="E15">
        <f t="shared" si="3"/>
        <v>0.12500000000000003</v>
      </c>
      <c r="U15">
        <v>13</v>
      </c>
      <c r="V15" s="2">
        <v>-0.48337999999999998</v>
      </c>
      <c r="W15" s="2">
        <v>878514000</v>
      </c>
      <c r="X15" t="s">
        <v>10</v>
      </c>
      <c r="Z15" s="2">
        <v>7.7379999999999995E-9</v>
      </c>
      <c r="AA15">
        <v>1</v>
      </c>
      <c r="AB15" s="2">
        <v>2.8590000000000001E-15</v>
      </c>
      <c r="AC15">
        <v>7.0000000000000001E-3</v>
      </c>
      <c r="AD15">
        <f t="shared" si="4"/>
        <v>0.12100000000000002</v>
      </c>
      <c r="AG15">
        <v>13</v>
      </c>
      <c r="AH15" s="2">
        <v>-0.54904660000000005</v>
      </c>
      <c r="AI15" s="2">
        <v>2.2634410000000001E-8</v>
      </c>
      <c r="AJ15">
        <v>1.6E-2</v>
      </c>
      <c r="AK15">
        <f t="shared" si="2"/>
        <v>0.12300000000000003</v>
      </c>
    </row>
    <row r="16" spans="1:37" x14ac:dyDescent="0.15">
      <c r="A16">
        <v>14</v>
      </c>
      <c r="B16" s="1">
        <v>-0.54760120000000001</v>
      </c>
      <c r="C16" s="2">
        <v>302.4511</v>
      </c>
      <c r="D16">
        <v>6.0000000000000001E-3</v>
      </c>
      <c r="E16">
        <f t="shared" si="3"/>
        <v>0.13000000000000003</v>
      </c>
      <c r="U16">
        <v>14</v>
      </c>
      <c r="V16" s="2">
        <v>-0.48431669999999999</v>
      </c>
      <c r="W16" s="2">
        <v>3248405000</v>
      </c>
      <c r="X16" t="s">
        <v>10</v>
      </c>
      <c r="Z16" s="2">
        <v>1.8320000000000001E-9</v>
      </c>
      <c r="AA16">
        <v>5.1999999999999998E-2</v>
      </c>
      <c r="AB16" s="2">
        <v>2.2699999999999998E-15</v>
      </c>
      <c r="AC16">
        <v>8.0000000000000002E-3</v>
      </c>
      <c r="AD16">
        <f t="shared" si="4"/>
        <v>0.12800000000000003</v>
      </c>
      <c r="AG16">
        <v>14</v>
      </c>
      <c r="AH16" s="2">
        <v>-0.54904660000000005</v>
      </c>
      <c r="AI16" s="2">
        <v>1.1395E-8</v>
      </c>
      <c r="AJ16">
        <v>8.0000000000000002E-3</v>
      </c>
      <c r="AK16">
        <f t="shared" si="2"/>
        <v>0.13900000000000001</v>
      </c>
    </row>
    <row r="17" spans="1:37" x14ac:dyDescent="0.15">
      <c r="A17">
        <v>15</v>
      </c>
      <c r="B17" s="1">
        <v>-0.54770200000000002</v>
      </c>
      <c r="C17" s="2">
        <v>14603.31</v>
      </c>
      <c r="D17">
        <v>8.0000000000000002E-3</v>
      </c>
      <c r="E17">
        <f t="shared" si="3"/>
        <v>0.13600000000000004</v>
      </c>
      <c r="U17">
        <v>15</v>
      </c>
      <c r="V17" s="2">
        <v>-0.48467270000000001</v>
      </c>
      <c r="W17" s="2">
        <v>2874287000</v>
      </c>
      <c r="X17" t="s">
        <v>10</v>
      </c>
      <c r="Z17" s="2">
        <v>2.3100000000000001E-9</v>
      </c>
      <c r="AA17">
        <v>0.9</v>
      </c>
      <c r="AB17" s="2">
        <v>1.5959999999999999E-15</v>
      </c>
      <c r="AC17">
        <v>8.0000000000000002E-3</v>
      </c>
      <c r="AD17">
        <f t="shared" si="4"/>
        <v>0.13600000000000004</v>
      </c>
      <c r="AG17">
        <v>15</v>
      </c>
      <c r="AH17" s="2">
        <v>-0.54904660000000005</v>
      </c>
      <c r="AI17" s="2">
        <v>5.7524819999999998E-9</v>
      </c>
      <c r="AJ17">
        <v>7.0000000000000001E-3</v>
      </c>
      <c r="AK17">
        <f t="shared" si="2"/>
        <v>0.14700000000000002</v>
      </c>
    </row>
    <row r="18" spans="1:37" x14ac:dyDescent="0.15">
      <c r="A18">
        <v>16</v>
      </c>
      <c r="B18" s="1">
        <v>-0.54817950000000004</v>
      </c>
      <c r="C18" s="2">
        <v>136.58779999999999</v>
      </c>
      <c r="D18">
        <v>6.0000000000000001E-3</v>
      </c>
      <c r="E18">
        <f t="shared" si="3"/>
        <v>0.14400000000000004</v>
      </c>
      <c r="U18">
        <v>16</v>
      </c>
      <c r="V18" s="2">
        <v>-0.48732730000000002</v>
      </c>
      <c r="W18" s="2">
        <v>3166253000</v>
      </c>
      <c r="X18" t="s">
        <v>10</v>
      </c>
      <c r="Z18" s="2">
        <v>2.0649999999999998E-9</v>
      </c>
      <c r="AA18">
        <v>1</v>
      </c>
      <c r="AB18" s="2">
        <v>3.3279999999999998E-14</v>
      </c>
      <c r="AC18">
        <v>6.0000000000000001E-3</v>
      </c>
      <c r="AD18">
        <f t="shared" si="4"/>
        <v>0.14400000000000004</v>
      </c>
      <c r="AG18">
        <v>16</v>
      </c>
      <c r="AH18" s="2">
        <v>-0.54904660000000005</v>
      </c>
      <c r="AI18" s="2">
        <v>2.9107020000000001E-9</v>
      </c>
      <c r="AJ18">
        <v>7.0000000000000001E-3</v>
      </c>
      <c r="AK18">
        <f t="shared" si="2"/>
        <v>0.15400000000000003</v>
      </c>
    </row>
    <row r="19" spans="1:37" x14ac:dyDescent="0.15">
      <c r="A19">
        <v>17</v>
      </c>
      <c r="B19" s="1">
        <v>-0.54818579999999995</v>
      </c>
      <c r="C19" s="2">
        <v>10122.31</v>
      </c>
      <c r="D19">
        <v>6.0000000000000001E-3</v>
      </c>
      <c r="E19">
        <f t="shared" si="3"/>
        <v>0.15000000000000005</v>
      </c>
      <c r="U19">
        <v>17</v>
      </c>
      <c r="V19" s="2">
        <v>-0.49258400000000002</v>
      </c>
      <c r="W19" s="2">
        <v>1117810000</v>
      </c>
      <c r="X19" t="s">
        <v>10</v>
      </c>
      <c r="Z19" s="2">
        <v>5.272E-9</v>
      </c>
      <c r="AA19">
        <v>5.1999999999999998E-2</v>
      </c>
      <c r="AB19" s="2">
        <v>4.0299999999999996E-15</v>
      </c>
      <c r="AC19">
        <v>8.9999999999999993E-3</v>
      </c>
      <c r="AD19">
        <f t="shared" si="4"/>
        <v>0.15000000000000005</v>
      </c>
      <c r="AG19">
        <v>17</v>
      </c>
      <c r="AH19" s="2">
        <v>-0.54904660000000005</v>
      </c>
      <c r="AI19" s="2">
        <v>1.4756789999999999E-9</v>
      </c>
      <c r="AJ19">
        <v>8.0000000000000002E-3</v>
      </c>
      <c r="AK19">
        <f t="shared" si="2"/>
        <v>0.16100000000000003</v>
      </c>
    </row>
    <row r="20" spans="1:37" x14ac:dyDescent="0.15">
      <c r="A20">
        <v>18</v>
      </c>
      <c r="B20" s="1">
        <v>-0.54846830000000002</v>
      </c>
      <c r="C20" s="2">
        <v>40.046930000000003</v>
      </c>
      <c r="D20">
        <v>6.0000000000000001E-3</v>
      </c>
      <c r="E20">
        <f t="shared" si="3"/>
        <v>0.15600000000000006</v>
      </c>
      <c r="U20">
        <v>18</v>
      </c>
      <c r="V20" s="2">
        <v>-0.49266500000000002</v>
      </c>
      <c r="W20" s="2">
        <v>1014393000</v>
      </c>
      <c r="X20" t="s">
        <v>10</v>
      </c>
      <c r="Z20" s="2">
        <v>6.3259999999999999E-9</v>
      </c>
      <c r="AA20">
        <v>1</v>
      </c>
      <c r="AB20" s="2">
        <v>3.2219999999999999E-15</v>
      </c>
      <c r="AC20">
        <v>6.0000000000000001E-3</v>
      </c>
      <c r="AD20">
        <f t="shared" si="4"/>
        <v>0.15900000000000006</v>
      </c>
      <c r="AG20">
        <v>18</v>
      </c>
      <c r="AH20" s="2">
        <v>-0.54904660000000005</v>
      </c>
      <c r="AI20" s="2">
        <v>7.4941309999999995E-10</v>
      </c>
      <c r="AJ20">
        <v>1.0999999999999999E-2</v>
      </c>
      <c r="AK20">
        <f t="shared" si="2"/>
        <v>0.16900000000000004</v>
      </c>
    </row>
    <row r="21" spans="1:37" x14ac:dyDescent="0.15">
      <c r="A21">
        <v>19</v>
      </c>
      <c r="B21" s="1">
        <v>-0.54850940000000004</v>
      </c>
      <c r="C21" s="2">
        <v>1459.704</v>
      </c>
      <c r="D21">
        <v>6.0000000000000001E-3</v>
      </c>
      <c r="E21">
        <f t="shared" si="3"/>
        <v>0.16200000000000006</v>
      </c>
      <c r="U21">
        <v>19</v>
      </c>
      <c r="V21" s="2">
        <v>-0.4930291</v>
      </c>
      <c r="W21" s="2">
        <v>2713574000</v>
      </c>
      <c r="X21" t="s">
        <v>10</v>
      </c>
      <c r="Z21" s="2">
        <v>2.1229999999999998E-9</v>
      </c>
      <c r="AA21">
        <v>0.109</v>
      </c>
      <c r="AB21" s="2">
        <v>8.5960000000000001E-15</v>
      </c>
      <c r="AC21">
        <v>7.0000000000000001E-3</v>
      </c>
      <c r="AD21">
        <f t="shared" si="4"/>
        <v>0.16500000000000006</v>
      </c>
      <c r="AG21">
        <v>19</v>
      </c>
      <c r="AH21" s="2">
        <v>-0.54904660000000005</v>
      </c>
      <c r="AI21" s="2">
        <v>3.8114820000000002E-10</v>
      </c>
      <c r="AJ21">
        <v>7.0000000000000001E-3</v>
      </c>
      <c r="AK21">
        <f t="shared" si="2"/>
        <v>0.18000000000000005</v>
      </c>
    </row>
    <row r="22" spans="1:37" x14ac:dyDescent="0.15">
      <c r="A22">
        <v>20</v>
      </c>
      <c r="B22" s="1">
        <v>-0.54857270000000002</v>
      </c>
      <c r="C22" s="2">
        <v>5.0952010000000003</v>
      </c>
      <c r="D22">
        <v>5.0000000000000001E-3</v>
      </c>
      <c r="E22">
        <f t="shared" si="3"/>
        <v>0.16800000000000007</v>
      </c>
      <c r="U22">
        <v>20</v>
      </c>
      <c r="V22" s="2">
        <v>-0.49304189999999998</v>
      </c>
      <c r="W22" s="2">
        <v>2251795000</v>
      </c>
      <c r="X22" t="s">
        <v>10</v>
      </c>
      <c r="Z22" s="2">
        <v>2.7839999999999999E-9</v>
      </c>
      <c r="AA22">
        <v>1</v>
      </c>
      <c r="AB22" s="2">
        <v>7.6389999999999997E-15</v>
      </c>
      <c r="AC22">
        <v>7.0000000000000001E-3</v>
      </c>
      <c r="AD22">
        <f t="shared" si="4"/>
        <v>0.17200000000000007</v>
      </c>
      <c r="AG22">
        <v>20</v>
      </c>
      <c r="AH22" s="2">
        <v>-0.54904660000000005</v>
      </c>
      <c r="AI22" s="2">
        <v>1.94105E-10</v>
      </c>
      <c r="AJ22">
        <v>7.0000000000000001E-3</v>
      </c>
      <c r="AK22">
        <f t="shared" si="2"/>
        <v>0.18700000000000006</v>
      </c>
    </row>
    <row r="23" spans="1:37" x14ac:dyDescent="0.15">
      <c r="A23">
        <v>21</v>
      </c>
      <c r="B23" s="1">
        <v>-0.54859139999999995</v>
      </c>
      <c r="C23" s="2">
        <v>66.673159999999996</v>
      </c>
      <c r="D23">
        <v>5.0000000000000001E-3</v>
      </c>
      <c r="E23">
        <f t="shared" si="3"/>
        <v>0.17300000000000007</v>
      </c>
      <c r="U23">
        <v>21</v>
      </c>
      <c r="V23" s="2">
        <v>-0.49833270000000002</v>
      </c>
      <c r="W23" s="2">
        <v>725882000</v>
      </c>
      <c r="X23" t="s">
        <v>10</v>
      </c>
      <c r="Z23" s="2">
        <v>7.6239999999999993E-9</v>
      </c>
      <c r="AA23">
        <v>5.8000000000000003E-2</v>
      </c>
      <c r="AB23" s="2">
        <v>1.372E-14</v>
      </c>
      <c r="AC23">
        <v>8.0000000000000002E-3</v>
      </c>
      <c r="AD23">
        <f t="shared" si="4"/>
        <v>0.17900000000000008</v>
      </c>
      <c r="AG23">
        <v>21</v>
      </c>
      <c r="AH23" s="2">
        <v>-0.54904660000000005</v>
      </c>
      <c r="AI23" s="2">
        <v>9.8967019999999994E-11</v>
      </c>
      <c r="AJ23">
        <v>8.0000000000000002E-3</v>
      </c>
      <c r="AK23">
        <f t="shared" si="2"/>
        <v>0.19400000000000006</v>
      </c>
    </row>
    <row r="24" spans="1:37" x14ac:dyDescent="0.15">
      <c r="A24">
        <v>22</v>
      </c>
      <c r="B24" s="1">
        <v>-0.54860180000000003</v>
      </c>
      <c r="C24" s="2">
        <v>0.60195310000000002</v>
      </c>
      <c r="D24">
        <v>6.0000000000000001E-3</v>
      </c>
      <c r="E24">
        <f t="shared" si="3"/>
        <v>0.17800000000000007</v>
      </c>
      <c r="U24">
        <v>22</v>
      </c>
      <c r="V24" s="2">
        <v>-0.49856850000000003</v>
      </c>
      <c r="W24" s="2">
        <v>669442600</v>
      </c>
      <c r="X24" t="s">
        <v>10</v>
      </c>
      <c r="Z24" s="2">
        <v>9.104E-9</v>
      </c>
      <c r="AA24">
        <v>0.72899999999999998</v>
      </c>
      <c r="AB24" s="2">
        <v>1.298E-14</v>
      </c>
      <c r="AC24">
        <v>6.0000000000000001E-3</v>
      </c>
      <c r="AD24">
        <f t="shared" si="4"/>
        <v>0.18700000000000008</v>
      </c>
      <c r="AG24">
        <v>22</v>
      </c>
      <c r="AH24" s="2">
        <v>-0.54904660000000005</v>
      </c>
      <c r="AI24" s="2">
        <v>5.0513480000000001E-11</v>
      </c>
      <c r="AJ24">
        <v>7.0000000000000001E-3</v>
      </c>
      <c r="AK24">
        <f t="shared" si="2"/>
        <v>0.20200000000000007</v>
      </c>
    </row>
    <row r="25" spans="1:37" x14ac:dyDescent="0.15">
      <c r="A25">
        <v>23</v>
      </c>
      <c r="B25" s="1">
        <v>-0.54860660000000006</v>
      </c>
      <c r="C25" s="2">
        <v>2.195325</v>
      </c>
      <c r="D25">
        <v>6.0000000000000001E-3</v>
      </c>
      <c r="E25">
        <f t="shared" si="3"/>
        <v>0.18400000000000008</v>
      </c>
      <c r="U25">
        <v>23</v>
      </c>
      <c r="V25" s="2">
        <v>-0.49888009999999999</v>
      </c>
      <c r="W25" s="2">
        <v>1151407000</v>
      </c>
      <c r="X25" t="s">
        <v>10</v>
      </c>
      <c r="Z25" s="2">
        <v>5.2650000000000003E-9</v>
      </c>
      <c r="AA25">
        <v>1</v>
      </c>
      <c r="AB25" s="2">
        <v>3.9090000000000002E-15</v>
      </c>
      <c r="AC25">
        <v>7.0000000000000001E-3</v>
      </c>
      <c r="AD25">
        <f t="shared" si="4"/>
        <v>0.19300000000000009</v>
      </c>
      <c r="AG25">
        <v>23</v>
      </c>
      <c r="AH25" s="2">
        <v>-0.54904660000000005</v>
      </c>
      <c r="AI25" s="2">
        <v>2.5807569999999999E-11</v>
      </c>
      <c r="AJ25">
        <v>1.4E-2</v>
      </c>
      <c r="AK25">
        <f t="shared" si="2"/>
        <v>0.20900000000000007</v>
      </c>
    </row>
    <row r="26" spans="1:37" x14ac:dyDescent="0.15">
      <c r="A26">
        <v>24</v>
      </c>
      <c r="B26" s="1">
        <v>-0.54860900000000001</v>
      </c>
      <c r="C26" s="2">
        <v>0.16995540000000001</v>
      </c>
      <c r="D26">
        <v>6.0000000000000001E-3</v>
      </c>
      <c r="E26">
        <f t="shared" si="3"/>
        <v>0.19000000000000009</v>
      </c>
      <c r="U26">
        <v>24</v>
      </c>
      <c r="V26" s="2">
        <v>-0.5028589</v>
      </c>
      <c r="W26" s="2">
        <v>149183300</v>
      </c>
      <c r="X26" t="s">
        <v>10</v>
      </c>
      <c r="Z26" s="2">
        <v>3.7020000000000003E-8</v>
      </c>
      <c r="AA26">
        <v>7.1999999999999995E-2</v>
      </c>
      <c r="AB26" s="2">
        <v>1.6870000000000002E-14</v>
      </c>
      <c r="AC26">
        <v>8.0000000000000002E-3</v>
      </c>
      <c r="AD26">
        <f t="shared" si="4"/>
        <v>0.20000000000000009</v>
      </c>
      <c r="AG26">
        <v>24</v>
      </c>
      <c r="AH26" s="2">
        <v>-0.54904660000000005</v>
      </c>
      <c r="AI26" s="2">
        <v>1.3197039999999999E-11</v>
      </c>
      <c r="AJ26">
        <v>6.0000000000000001E-3</v>
      </c>
      <c r="AK26">
        <f t="shared" si="2"/>
        <v>0.22300000000000009</v>
      </c>
    </row>
    <row r="27" spans="1:37" x14ac:dyDescent="0.15">
      <c r="A27">
        <v>25</v>
      </c>
      <c r="B27" s="1">
        <v>-0.54861020000000005</v>
      </c>
      <c r="C27" s="2">
        <v>7.3641079999999998E-2</v>
      </c>
      <c r="D27">
        <v>8.9999999999999993E-3</v>
      </c>
      <c r="E27">
        <f t="shared" si="3"/>
        <v>0.19600000000000009</v>
      </c>
      <c r="U27">
        <v>25</v>
      </c>
      <c r="V27" s="2">
        <v>-0.50297820000000004</v>
      </c>
      <c r="W27" s="2">
        <v>276234100</v>
      </c>
      <c r="X27" t="s">
        <v>10</v>
      </c>
      <c r="Z27" s="2">
        <v>2.1419999999999999E-8</v>
      </c>
      <c r="AA27">
        <v>0.81</v>
      </c>
      <c r="AB27" s="2">
        <v>1.566E-14</v>
      </c>
      <c r="AC27">
        <v>7.0000000000000001E-3</v>
      </c>
      <c r="AD27">
        <f t="shared" si="4"/>
        <v>0.2080000000000001</v>
      </c>
      <c r="AG27">
        <v>25</v>
      </c>
      <c r="AH27" s="2">
        <v>-0.54904660000000005</v>
      </c>
      <c r="AI27" s="2">
        <v>6.7541000000000001E-12</v>
      </c>
      <c r="AJ27">
        <v>6.0000000000000001E-3</v>
      </c>
      <c r="AK27">
        <f t="shared" si="2"/>
        <v>0.22900000000000009</v>
      </c>
    </row>
    <row r="28" spans="1:37" x14ac:dyDescent="0.15">
      <c r="A28">
        <v>26</v>
      </c>
      <c r="B28" s="1">
        <v>-0.54861079999999995</v>
      </c>
      <c r="C28" s="2">
        <v>1.529762E-2</v>
      </c>
      <c r="D28">
        <v>1.4E-2</v>
      </c>
      <c r="E28">
        <f t="shared" si="3"/>
        <v>0.2050000000000001</v>
      </c>
      <c r="U28">
        <v>26</v>
      </c>
      <c r="V28" s="2">
        <v>-0.50330920000000001</v>
      </c>
      <c r="W28" s="2">
        <v>733965100</v>
      </c>
      <c r="X28" t="s">
        <v>10</v>
      </c>
      <c r="Z28" s="2">
        <v>7.9650000000000005E-9</v>
      </c>
      <c r="AA28">
        <v>1</v>
      </c>
      <c r="AB28" s="2">
        <v>7.5830000000000004E-15</v>
      </c>
      <c r="AC28">
        <v>6.0000000000000001E-3</v>
      </c>
      <c r="AD28">
        <f t="shared" si="4"/>
        <v>0.21500000000000011</v>
      </c>
      <c r="AG28">
        <v>26</v>
      </c>
      <c r="AH28" s="2">
        <v>-0.54904660000000005</v>
      </c>
      <c r="AI28" s="2">
        <v>3.4593549999999999E-12</v>
      </c>
      <c r="AJ28">
        <v>6.0000000000000001E-3</v>
      </c>
      <c r="AK28">
        <f t="shared" si="2"/>
        <v>0.2350000000000001</v>
      </c>
    </row>
    <row r="29" spans="1:37" x14ac:dyDescent="0.15">
      <c r="A29">
        <v>27</v>
      </c>
      <c r="B29" s="1">
        <v>-0.54861110000000002</v>
      </c>
      <c r="C29" s="2">
        <v>3.9275430000000004E-3</v>
      </c>
      <c r="D29">
        <v>7.0000000000000001E-3</v>
      </c>
      <c r="E29">
        <f t="shared" si="3"/>
        <v>0.21900000000000011</v>
      </c>
      <c r="U29">
        <v>27</v>
      </c>
      <c r="V29" s="2">
        <v>-0.50534990000000002</v>
      </c>
      <c r="W29" s="2">
        <v>405397600</v>
      </c>
      <c r="X29" t="s">
        <v>10</v>
      </c>
      <c r="Z29" s="2">
        <v>1.359E-8</v>
      </c>
      <c r="AA29">
        <v>9.8000000000000004E-2</v>
      </c>
      <c r="AB29" s="2">
        <v>4.4349999999999997E-15</v>
      </c>
      <c r="AC29">
        <v>8.0000000000000002E-3</v>
      </c>
      <c r="AD29">
        <f t="shared" si="4"/>
        <v>0.22100000000000011</v>
      </c>
      <c r="AG29">
        <v>27</v>
      </c>
      <c r="AH29" s="2">
        <v>-0.54904660000000005</v>
      </c>
      <c r="AI29" s="2">
        <v>1.773121E-12</v>
      </c>
      <c r="AJ29">
        <v>6.0000000000000001E-3</v>
      </c>
      <c r="AK29">
        <f t="shared" si="2"/>
        <v>0.2410000000000001</v>
      </c>
    </row>
    <row r="30" spans="1:37" x14ac:dyDescent="0.15">
      <c r="A30">
        <v>28</v>
      </c>
      <c r="B30" s="1">
        <v>-0.54861119999999997</v>
      </c>
      <c r="C30" s="2">
        <v>9.8306439999999999E-4</v>
      </c>
      <c r="D30">
        <v>7.0000000000000001E-3</v>
      </c>
      <c r="E30">
        <f t="shared" si="3"/>
        <v>0.22600000000000012</v>
      </c>
      <c r="U30">
        <v>28</v>
      </c>
      <c r="V30" s="2">
        <v>-0.50538349999999999</v>
      </c>
      <c r="W30" s="2">
        <v>395453000</v>
      </c>
      <c r="X30" t="s">
        <v>10</v>
      </c>
      <c r="Z30" s="2">
        <v>1.4500000000000001E-8</v>
      </c>
      <c r="AA30">
        <v>1</v>
      </c>
      <c r="AB30" s="2">
        <v>4.1779999999999997E-15</v>
      </c>
      <c r="AC30">
        <v>6.0000000000000001E-3</v>
      </c>
      <c r="AD30">
        <f t="shared" si="4"/>
        <v>0.22900000000000012</v>
      </c>
      <c r="AG30">
        <v>28</v>
      </c>
      <c r="AH30" s="2">
        <v>-0.54904660000000005</v>
      </c>
      <c r="AI30" s="2">
        <v>9.094496E-13</v>
      </c>
      <c r="AJ30">
        <v>6.0000000000000001E-3</v>
      </c>
      <c r="AK30">
        <f t="shared" si="2"/>
        <v>0.24700000000000011</v>
      </c>
    </row>
    <row r="31" spans="1:37" x14ac:dyDescent="0.15">
      <c r="A31">
        <v>29</v>
      </c>
      <c r="B31" s="1">
        <v>-0.54861130000000002</v>
      </c>
      <c r="C31" s="2">
        <v>2.4945479999999998E-4</v>
      </c>
      <c r="D31">
        <v>6.0000000000000001E-3</v>
      </c>
      <c r="E31">
        <f t="shared" si="3"/>
        <v>0.23300000000000012</v>
      </c>
      <c r="U31">
        <v>29</v>
      </c>
      <c r="V31" s="2">
        <v>-0.50614619999999999</v>
      </c>
      <c r="W31" s="2">
        <v>1082244000</v>
      </c>
      <c r="X31" t="s">
        <v>10</v>
      </c>
      <c r="Z31" s="2">
        <v>4.9769999999999997E-9</v>
      </c>
      <c r="AA31">
        <v>0.122</v>
      </c>
      <c r="AB31" s="2">
        <v>1.6689999999999999E-14</v>
      </c>
      <c r="AC31">
        <v>7.0000000000000001E-3</v>
      </c>
      <c r="AD31">
        <f t="shared" si="4"/>
        <v>0.23500000000000013</v>
      </c>
      <c r="AG31">
        <v>29</v>
      </c>
      <c r="AH31" s="2">
        <v>-0.54904660000000005</v>
      </c>
      <c r="AI31" s="2">
        <v>4.6676580000000004E-13</v>
      </c>
      <c r="AJ31">
        <v>6.0000000000000001E-3</v>
      </c>
      <c r="AK31">
        <f t="shared" si="2"/>
        <v>0.25300000000000011</v>
      </c>
    </row>
    <row r="32" spans="1:37" x14ac:dyDescent="0.15">
      <c r="A32">
        <v>30</v>
      </c>
      <c r="B32" s="1">
        <v>-0.54861130000000002</v>
      </c>
      <c r="C32" s="2">
        <v>6.3407719999999994E-5</v>
      </c>
      <c r="D32">
        <v>6.0000000000000001E-3</v>
      </c>
      <c r="E32">
        <f t="shared" si="3"/>
        <v>0.23900000000000013</v>
      </c>
      <c r="U32">
        <v>30</v>
      </c>
      <c r="V32" s="2">
        <v>-0.50641599999999998</v>
      </c>
      <c r="W32" s="2">
        <v>1092819000</v>
      </c>
      <c r="X32" t="s">
        <v>10</v>
      </c>
      <c r="Z32" s="2">
        <v>5.1220000000000003E-9</v>
      </c>
      <c r="AA32">
        <v>1</v>
      </c>
      <c r="AB32" s="2">
        <v>1.477E-14</v>
      </c>
      <c r="AC32">
        <v>6.0000000000000001E-3</v>
      </c>
      <c r="AD32">
        <f t="shared" si="4"/>
        <v>0.24200000000000013</v>
      </c>
      <c r="AG32">
        <v>30</v>
      </c>
      <c r="AH32" s="2">
        <v>-0.54904660000000005</v>
      </c>
      <c r="AI32" s="2">
        <v>2.3970919999999999E-13</v>
      </c>
      <c r="AJ32">
        <v>7.0000000000000001E-3</v>
      </c>
      <c r="AK32">
        <f t="shared" si="2"/>
        <v>0.25900000000000012</v>
      </c>
    </row>
    <row r="33" spans="1:37" x14ac:dyDescent="0.15">
      <c r="A33">
        <v>31</v>
      </c>
      <c r="B33" s="1">
        <v>-0.54861130000000002</v>
      </c>
      <c r="C33" s="2">
        <v>1.6104640000000001E-5</v>
      </c>
      <c r="D33">
        <v>6.0000000000000001E-3</v>
      </c>
      <c r="E33">
        <f t="shared" si="3"/>
        <v>0.24500000000000013</v>
      </c>
      <c r="U33">
        <v>31</v>
      </c>
      <c r="V33" s="2">
        <v>-0.50826260000000001</v>
      </c>
      <c r="W33" s="2">
        <v>787179400</v>
      </c>
      <c r="X33" t="s">
        <v>10</v>
      </c>
      <c r="Z33" s="2">
        <v>6.6279999999999999E-9</v>
      </c>
      <c r="AA33">
        <v>0.08</v>
      </c>
      <c r="AB33" s="2">
        <v>2.0799999999999999E-15</v>
      </c>
      <c r="AC33">
        <v>7.0000000000000001E-3</v>
      </c>
      <c r="AD33">
        <f t="shared" si="4"/>
        <v>0.24800000000000014</v>
      </c>
      <c r="AG33">
        <v>31</v>
      </c>
      <c r="AH33" s="2">
        <v>-0.54904660000000005</v>
      </c>
      <c r="AI33" s="2">
        <v>1.231749E-13</v>
      </c>
      <c r="AJ33">
        <v>7.0000000000000001E-3</v>
      </c>
      <c r="AK33">
        <f t="shared" si="2"/>
        <v>0.26600000000000013</v>
      </c>
    </row>
    <row r="34" spans="1:37" x14ac:dyDescent="0.15">
      <c r="A34">
        <v>32</v>
      </c>
      <c r="B34" s="1">
        <v>-0.54861139999999997</v>
      </c>
      <c r="C34" s="2">
        <v>4.0769690000000003E-6</v>
      </c>
      <c r="D34">
        <v>1.0999999999999999E-2</v>
      </c>
      <c r="E34">
        <f t="shared" si="3"/>
        <v>0.25100000000000011</v>
      </c>
      <c r="U34">
        <v>32</v>
      </c>
      <c r="V34" s="2">
        <v>-0.50830569999999997</v>
      </c>
      <c r="W34" s="2">
        <v>669240300</v>
      </c>
      <c r="X34" t="s">
        <v>10</v>
      </c>
      <c r="Z34" s="2">
        <v>8.2149999999999994E-9</v>
      </c>
      <c r="AA34">
        <v>1</v>
      </c>
      <c r="AB34" s="2">
        <v>1.3189999999999999E-15</v>
      </c>
      <c r="AC34">
        <v>6.0000000000000001E-3</v>
      </c>
      <c r="AD34">
        <f t="shared" si="4"/>
        <v>0.25500000000000012</v>
      </c>
      <c r="AG34">
        <v>32</v>
      </c>
      <c r="AH34" s="2">
        <v>-0.54904660000000005</v>
      </c>
      <c r="AI34" s="2">
        <v>6.3328449999999995E-14</v>
      </c>
      <c r="AJ34">
        <v>7.0000000000000001E-3</v>
      </c>
      <c r="AK34">
        <f t="shared" si="2"/>
        <v>0.27300000000000013</v>
      </c>
    </row>
    <row r="35" spans="1:37" x14ac:dyDescent="0.15">
      <c r="A35">
        <v>33</v>
      </c>
      <c r="B35" s="1">
        <v>-0.54861139999999997</v>
      </c>
      <c r="C35" s="2">
        <v>1.0260119999999999E-6</v>
      </c>
      <c r="D35">
        <v>8.0000000000000002E-3</v>
      </c>
      <c r="E35">
        <f t="shared" si="3"/>
        <v>0.26200000000000012</v>
      </c>
      <c r="U35">
        <v>33</v>
      </c>
      <c r="V35" s="2">
        <v>-0.50945720000000005</v>
      </c>
      <c r="W35" s="2">
        <v>1432169000</v>
      </c>
      <c r="X35" t="s">
        <v>10</v>
      </c>
      <c r="Z35" s="2">
        <v>3.5279999999999998E-9</v>
      </c>
      <c r="AA35">
        <v>9.8000000000000004E-2</v>
      </c>
      <c r="AB35" s="2">
        <v>6.9300000000000002E-15</v>
      </c>
      <c r="AC35">
        <v>7.0000000000000001E-3</v>
      </c>
      <c r="AD35">
        <f t="shared" si="4"/>
        <v>0.26100000000000012</v>
      </c>
      <c r="AG35">
        <v>33</v>
      </c>
      <c r="AH35" s="2">
        <v>-0.54904660000000005</v>
      </c>
      <c r="AI35" s="2">
        <v>3.2576440000000002E-14</v>
      </c>
      <c r="AJ35">
        <v>7.0000000000000001E-3</v>
      </c>
      <c r="AK35">
        <f t="shared" si="2"/>
        <v>0.28000000000000014</v>
      </c>
    </row>
    <row r="36" spans="1:37" x14ac:dyDescent="0.15">
      <c r="A36">
        <v>34</v>
      </c>
      <c r="B36" s="1">
        <v>-0.54861139999999997</v>
      </c>
      <c r="C36" s="2">
        <v>2.5580790000000002E-7</v>
      </c>
      <c r="D36">
        <v>8.9999999999999993E-3</v>
      </c>
      <c r="E36">
        <f t="shared" si="3"/>
        <v>0.27000000000000013</v>
      </c>
      <c r="U36">
        <v>34</v>
      </c>
      <c r="V36" s="2">
        <v>-0.50971869999999997</v>
      </c>
      <c r="W36" s="2">
        <v>1293758000</v>
      </c>
      <c r="X36" t="s">
        <v>10</v>
      </c>
      <c r="Z36" s="2">
        <v>4.1439999999999998E-9</v>
      </c>
      <c r="AA36">
        <v>1</v>
      </c>
      <c r="AB36" s="2">
        <v>6.264E-15</v>
      </c>
      <c r="AC36">
        <v>6.0000000000000001E-3</v>
      </c>
      <c r="AD36">
        <f t="shared" si="4"/>
        <v>0.26800000000000013</v>
      </c>
      <c r="AG36">
        <v>34</v>
      </c>
      <c r="AH36" s="2">
        <v>-0.54904660000000005</v>
      </c>
      <c r="AI36" s="2">
        <v>1.676587E-14</v>
      </c>
      <c r="AJ36">
        <v>6.0000000000000001E-3</v>
      </c>
      <c r="AK36">
        <f t="shared" si="2"/>
        <v>0.28700000000000014</v>
      </c>
    </row>
    <row r="37" spans="1:37" x14ac:dyDescent="0.15">
      <c r="A37">
        <v>35</v>
      </c>
      <c r="B37" s="1">
        <v>-0.54861139999999997</v>
      </c>
      <c r="C37" s="2">
        <v>6.2891979999999999E-8</v>
      </c>
      <c r="D37">
        <v>7.0000000000000001E-3</v>
      </c>
      <c r="E37">
        <f t="shared" si="3"/>
        <v>0.27900000000000014</v>
      </c>
      <c r="U37">
        <v>35</v>
      </c>
      <c r="V37" s="2">
        <v>-0.51132359999999999</v>
      </c>
      <c r="W37" s="2">
        <v>811553700</v>
      </c>
      <c r="X37" t="s">
        <v>10</v>
      </c>
      <c r="Z37" s="2">
        <v>6.1490000000000002E-9</v>
      </c>
      <c r="AA37">
        <v>0.08</v>
      </c>
      <c r="AB37" s="2">
        <v>4.5110000000000001E-15</v>
      </c>
      <c r="AC37">
        <v>1.9E-2</v>
      </c>
      <c r="AD37">
        <f t="shared" si="4"/>
        <v>0.27400000000000013</v>
      </c>
      <c r="AG37">
        <v>35</v>
      </c>
      <c r="AH37" s="2">
        <v>-0.54904660000000005</v>
      </c>
      <c r="AI37" s="2">
        <v>8.6328949999999996E-15</v>
      </c>
      <c r="AJ37">
        <v>6.0000000000000001E-3</v>
      </c>
      <c r="AK37">
        <f t="shared" si="2"/>
        <v>0.29300000000000015</v>
      </c>
    </row>
    <row r="38" spans="1:37" x14ac:dyDescent="0.15">
      <c r="A38">
        <v>36</v>
      </c>
      <c r="B38" s="1">
        <v>-0.54861139999999997</v>
      </c>
      <c r="C38" s="2">
        <v>1.5149249999999999E-8</v>
      </c>
      <c r="D38">
        <v>7.0000000000000001E-3</v>
      </c>
      <c r="E38">
        <f t="shared" si="3"/>
        <v>0.28600000000000014</v>
      </c>
      <c r="U38">
        <v>36</v>
      </c>
      <c r="V38" s="2">
        <v>-0.51137310000000002</v>
      </c>
      <c r="W38" s="2">
        <v>799703700</v>
      </c>
      <c r="X38" t="s">
        <v>10</v>
      </c>
      <c r="Z38" s="2">
        <v>6.5759999999999996E-9</v>
      </c>
      <c r="AA38">
        <v>1</v>
      </c>
      <c r="AB38" s="2">
        <v>3.8480000000000002E-15</v>
      </c>
      <c r="AC38">
        <v>8.0000000000000002E-3</v>
      </c>
      <c r="AD38">
        <f t="shared" si="4"/>
        <v>0.29300000000000015</v>
      </c>
      <c r="AG38">
        <v>36</v>
      </c>
      <c r="AH38" s="2">
        <v>-0.54904660000000005</v>
      </c>
      <c r="AI38" s="2">
        <v>4.447188E-15</v>
      </c>
      <c r="AJ38">
        <v>6.0000000000000001E-3</v>
      </c>
      <c r="AK38">
        <f t="shared" si="2"/>
        <v>0.29900000000000015</v>
      </c>
    </row>
    <row r="39" spans="1:37" x14ac:dyDescent="0.15">
      <c r="A39">
        <v>37</v>
      </c>
      <c r="B39" s="1">
        <v>-0.54861139999999997</v>
      </c>
      <c r="C39" s="2">
        <v>3.5441729999999999E-9</v>
      </c>
      <c r="D39">
        <v>7.0000000000000001E-3</v>
      </c>
      <c r="E39">
        <f t="shared" si="3"/>
        <v>0.29300000000000015</v>
      </c>
      <c r="U39">
        <v>37</v>
      </c>
      <c r="V39" s="2">
        <v>-0.51250300000000004</v>
      </c>
      <c r="W39" s="2">
        <v>1400824000</v>
      </c>
      <c r="X39" t="s">
        <v>10</v>
      </c>
      <c r="Z39" s="2">
        <v>3.4160000000000002E-9</v>
      </c>
      <c r="AA39">
        <v>0.109</v>
      </c>
      <c r="AB39" s="2">
        <v>4.115E-15</v>
      </c>
      <c r="AC39">
        <v>8.0000000000000002E-3</v>
      </c>
      <c r="AD39">
        <f t="shared" si="4"/>
        <v>0.30100000000000016</v>
      </c>
      <c r="AG39">
        <v>37</v>
      </c>
      <c r="AH39" s="2">
        <v>-0.54904660000000005</v>
      </c>
      <c r="AI39" s="2">
        <v>2.2919489999999999E-15</v>
      </c>
      <c r="AJ39">
        <v>8.0000000000000002E-3</v>
      </c>
      <c r="AK39">
        <f t="shared" si="2"/>
        <v>0.30500000000000016</v>
      </c>
    </row>
    <row r="40" spans="1:37" x14ac:dyDescent="0.15">
      <c r="A40">
        <v>38</v>
      </c>
      <c r="B40" s="1">
        <v>-0.54861139999999997</v>
      </c>
      <c r="C40" s="2">
        <v>7.9697279999999995E-10</v>
      </c>
      <c r="D40">
        <v>7.0000000000000001E-3</v>
      </c>
      <c r="E40">
        <f t="shared" si="3"/>
        <v>0.30000000000000016</v>
      </c>
      <c r="U40">
        <v>38</v>
      </c>
      <c r="V40" s="2">
        <v>-0.51250620000000002</v>
      </c>
      <c r="W40" s="2">
        <v>1204712000</v>
      </c>
      <c r="X40" t="s">
        <v>10</v>
      </c>
      <c r="Z40" s="2">
        <v>4.2610000000000001E-9</v>
      </c>
      <c r="AA40">
        <v>1</v>
      </c>
      <c r="AB40" s="2">
        <v>3.1759999999999999E-15</v>
      </c>
      <c r="AC40">
        <v>7.0000000000000001E-3</v>
      </c>
      <c r="AD40">
        <f t="shared" si="4"/>
        <v>0.30900000000000016</v>
      </c>
      <c r="AG40">
        <v>38</v>
      </c>
      <c r="AH40" s="2">
        <v>-0.54904660000000005</v>
      </c>
      <c r="AI40" s="2">
        <v>1.181699E-15</v>
      </c>
      <c r="AJ40">
        <v>7.0000000000000001E-3</v>
      </c>
      <c r="AK40">
        <f t="shared" si="2"/>
        <v>0.31300000000000017</v>
      </c>
    </row>
    <row r="41" spans="1:37" x14ac:dyDescent="0.15">
      <c r="A41">
        <v>39</v>
      </c>
      <c r="B41" s="1">
        <v>-0.54861139999999997</v>
      </c>
      <c r="C41" s="2">
        <v>1.711448E-10</v>
      </c>
      <c r="D41">
        <v>7.0000000000000001E-3</v>
      </c>
      <c r="E41">
        <f t="shared" si="3"/>
        <v>0.30700000000000016</v>
      </c>
      <c r="U41">
        <v>39</v>
      </c>
      <c r="V41" s="2">
        <v>-0.51482019999999995</v>
      </c>
      <c r="W41" s="2">
        <v>957766300</v>
      </c>
      <c r="X41" t="s">
        <v>10</v>
      </c>
      <c r="Z41" s="2">
        <v>4.8410000000000001E-9</v>
      </c>
      <c r="AA41">
        <v>0.08</v>
      </c>
      <c r="AB41" s="2">
        <v>8.6200000000000004E-15</v>
      </c>
      <c r="AC41">
        <v>8.9999999999999993E-3</v>
      </c>
      <c r="AD41">
        <f t="shared" si="4"/>
        <v>0.31600000000000017</v>
      </c>
      <c r="AG41">
        <v>39</v>
      </c>
      <c r="AH41" s="2">
        <v>-0.54904660000000005</v>
      </c>
      <c r="AI41" s="2">
        <v>6.0951480000000004E-16</v>
      </c>
      <c r="AJ41">
        <v>8.0000000000000002E-3</v>
      </c>
      <c r="AK41">
        <f t="shared" si="2"/>
        <v>0.32000000000000017</v>
      </c>
    </row>
    <row r="42" spans="1:37" x14ac:dyDescent="0.15">
      <c r="A42">
        <v>40</v>
      </c>
      <c r="B42" s="1">
        <v>-0.54861139999999997</v>
      </c>
      <c r="C42" s="2">
        <v>3.6049959999999997E-11</v>
      </c>
      <c r="D42">
        <v>7.0000000000000001E-3</v>
      </c>
      <c r="E42">
        <f t="shared" si="3"/>
        <v>0.31400000000000017</v>
      </c>
      <c r="U42">
        <v>40</v>
      </c>
      <c r="V42" s="2">
        <v>-0.51488909999999999</v>
      </c>
      <c r="W42" s="2">
        <v>824018200</v>
      </c>
      <c r="X42" t="s">
        <v>10</v>
      </c>
      <c r="Z42" s="2">
        <v>6.0779999999999999E-9</v>
      </c>
      <c r="AA42">
        <v>0.9</v>
      </c>
      <c r="AB42" s="2">
        <v>7.899E-15</v>
      </c>
      <c r="AC42">
        <v>8.0000000000000002E-3</v>
      </c>
      <c r="AD42">
        <f t="shared" si="4"/>
        <v>0.32500000000000018</v>
      </c>
      <c r="AG42">
        <v>40</v>
      </c>
      <c r="AH42" s="2">
        <v>-0.54904660000000005</v>
      </c>
      <c r="AI42" s="2">
        <v>3.392453E-16</v>
      </c>
      <c r="AJ42">
        <v>0.01</v>
      </c>
      <c r="AK42">
        <f t="shared" si="2"/>
        <v>0.32800000000000018</v>
      </c>
    </row>
    <row r="43" spans="1:37" x14ac:dyDescent="0.15">
      <c r="A43">
        <v>41</v>
      </c>
      <c r="B43" s="1">
        <v>-0.54861139999999997</v>
      </c>
      <c r="C43" s="2">
        <v>8.6983679999999995E-12</v>
      </c>
      <c r="D43">
        <v>7.0000000000000001E-3</v>
      </c>
      <c r="E43">
        <f t="shared" si="3"/>
        <v>0.32100000000000017</v>
      </c>
      <c r="U43">
        <v>41</v>
      </c>
      <c r="V43" s="2">
        <v>-0.51556900000000006</v>
      </c>
      <c r="W43" s="2">
        <v>1151074000</v>
      </c>
      <c r="X43" t="s">
        <v>10</v>
      </c>
      <c r="Z43" s="2">
        <v>4.277E-9</v>
      </c>
      <c r="AA43">
        <v>1</v>
      </c>
      <c r="AB43" s="2">
        <v>1.8289999999999999E-15</v>
      </c>
      <c r="AC43">
        <v>0.01</v>
      </c>
      <c r="AD43">
        <f t="shared" si="4"/>
        <v>0.33300000000000018</v>
      </c>
      <c r="AG43">
        <v>41</v>
      </c>
      <c r="AH43" s="2">
        <v>-0.54904660000000005</v>
      </c>
      <c r="AI43" s="2">
        <v>3.7213689999999998E-16</v>
      </c>
      <c r="AJ43">
        <v>6.0000000000000001E-3</v>
      </c>
      <c r="AK43">
        <f t="shared" si="2"/>
        <v>0.33800000000000019</v>
      </c>
    </row>
    <row r="44" spans="1:37" x14ac:dyDescent="0.15">
      <c r="A44">
        <v>42</v>
      </c>
      <c r="B44" s="1">
        <v>-0.54861139999999997</v>
      </c>
      <c r="C44" s="2">
        <v>3.2520399999999999E-12</v>
      </c>
      <c r="D44">
        <v>7.0000000000000001E-3</v>
      </c>
      <c r="E44">
        <f t="shared" si="3"/>
        <v>0.32800000000000018</v>
      </c>
      <c r="U44">
        <v>42</v>
      </c>
      <c r="V44" s="2">
        <v>-0.51695190000000002</v>
      </c>
      <c r="W44" s="2">
        <v>881948600</v>
      </c>
      <c r="X44" t="s">
        <v>10</v>
      </c>
      <c r="Z44" s="2">
        <v>5.1119999999999997E-9</v>
      </c>
      <c r="AA44">
        <v>0.08</v>
      </c>
      <c r="AB44" s="2">
        <v>6.2970000000000004E-15</v>
      </c>
      <c r="AC44">
        <v>8.0000000000000002E-3</v>
      </c>
      <c r="AD44">
        <f t="shared" si="4"/>
        <v>0.34300000000000019</v>
      </c>
      <c r="AG44">
        <v>42</v>
      </c>
      <c r="AH44" s="2">
        <v>-0.54904660000000005</v>
      </c>
      <c r="AI44" s="2">
        <v>2.714525E-16</v>
      </c>
      <c r="AJ44">
        <v>0.01</v>
      </c>
      <c r="AK44">
        <f t="shared" si="2"/>
        <v>0.34400000000000019</v>
      </c>
    </row>
    <row r="45" spans="1:37" x14ac:dyDescent="0.15">
      <c r="A45">
        <v>43</v>
      </c>
      <c r="B45" s="1">
        <v>-0.54861139999999997</v>
      </c>
      <c r="C45" s="2">
        <v>1.8437990000000001E-12</v>
      </c>
      <c r="D45">
        <v>8.0000000000000002E-3</v>
      </c>
      <c r="E45">
        <f t="shared" si="3"/>
        <v>0.33500000000000019</v>
      </c>
      <c r="U45">
        <v>43</v>
      </c>
      <c r="V45" s="2">
        <v>-0.51706569999999996</v>
      </c>
      <c r="W45" s="2">
        <v>573604000</v>
      </c>
      <c r="X45" t="s">
        <v>10</v>
      </c>
      <c r="Z45" s="2">
        <v>8.4420000000000004E-9</v>
      </c>
      <c r="AA45">
        <v>1</v>
      </c>
      <c r="AB45" s="2">
        <v>5.8429999999999997E-15</v>
      </c>
      <c r="AC45">
        <v>7.0000000000000001E-3</v>
      </c>
      <c r="AD45">
        <f t="shared" si="4"/>
        <v>0.3510000000000002</v>
      </c>
      <c r="AG45">
        <v>43</v>
      </c>
      <c r="AH45" s="2">
        <v>-0.54904660000000005</v>
      </c>
      <c r="AI45" s="2">
        <v>2.8747979999999998E-16</v>
      </c>
      <c r="AJ45">
        <v>8.0000000000000002E-3</v>
      </c>
      <c r="AK45">
        <f t="shared" si="2"/>
        <v>0.3540000000000002</v>
      </c>
    </row>
    <row r="46" spans="1:37" x14ac:dyDescent="0.15">
      <c r="A46">
        <v>44</v>
      </c>
      <c r="B46" s="1">
        <v>-0.54861139999999997</v>
      </c>
      <c r="C46" s="2">
        <v>1.171825E-12</v>
      </c>
      <c r="D46">
        <v>7.0000000000000001E-3</v>
      </c>
      <c r="E46">
        <f t="shared" si="3"/>
        <v>0.34300000000000019</v>
      </c>
      <c r="U46">
        <v>44</v>
      </c>
      <c r="V46" s="2">
        <v>-0.51916269999999998</v>
      </c>
      <c r="W46" s="2">
        <v>934482000</v>
      </c>
      <c r="X46" t="s">
        <v>10</v>
      </c>
      <c r="Z46" s="2">
        <v>4.5690000000000002E-9</v>
      </c>
      <c r="AA46">
        <v>0.109</v>
      </c>
      <c r="AB46" s="2">
        <v>1.454E-15</v>
      </c>
      <c r="AC46">
        <v>8.9999999999999993E-3</v>
      </c>
      <c r="AD46">
        <f t="shared" si="4"/>
        <v>0.35800000000000021</v>
      </c>
      <c r="AG46">
        <v>44</v>
      </c>
      <c r="AH46" s="2">
        <v>-0.54904660000000005</v>
      </c>
      <c r="AI46" s="2">
        <v>2.7322269999999999E-16</v>
      </c>
      <c r="AJ46">
        <v>8.9999999999999993E-3</v>
      </c>
      <c r="AK46">
        <f t="shared" si="2"/>
        <v>0.36200000000000021</v>
      </c>
    </row>
    <row r="47" spans="1:37" x14ac:dyDescent="0.15">
      <c r="A47">
        <v>45</v>
      </c>
      <c r="B47" s="1">
        <v>-0.54861139999999997</v>
      </c>
      <c r="C47" s="2">
        <v>7.2598270000000005E-13</v>
      </c>
      <c r="D47">
        <v>6.0000000000000001E-3</v>
      </c>
      <c r="E47">
        <f t="shared" si="3"/>
        <v>0.3500000000000002</v>
      </c>
      <c r="U47">
        <v>45</v>
      </c>
      <c r="V47" s="2">
        <v>-0.51925529999999998</v>
      </c>
      <c r="W47" s="2">
        <v>738520900</v>
      </c>
      <c r="X47" t="s">
        <v>10</v>
      </c>
      <c r="Z47" s="2">
        <v>6.3790000000000004E-9</v>
      </c>
      <c r="AA47">
        <v>1</v>
      </c>
      <c r="AB47" s="2">
        <v>6.277E-15</v>
      </c>
      <c r="AC47">
        <v>1.0999999999999999E-2</v>
      </c>
      <c r="AD47">
        <f t="shared" si="4"/>
        <v>0.36700000000000021</v>
      </c>
      <c r="AG47">
        <v>45</v>
      </c>
      <c r="AH47" s="2">
        <v>-0.54904660000000005</v>
      </c>
      <c r="AI47" s="2">
        <v>2.7343279999999998E-16</v>
      </c>
      <c r="AJ47">
        <v>1.9E-2</v>
      </c>
      <c r="AK47">
        <f t="shared" si="2"/>
        <v>0.37100000000000022</v>
      </c>
    </row>
    <row r="48" spans="1:37" x14ac:dyDescent="0.15">
      <c r="A48">
        <v>46</v>
      </c>
      <c r="B48" s="1">
        <v>-0.54861139999999997</v>
      </c>
      <c r="C48" s="2">
        <v>4.3016370000000002E-13</v>
      </c>
      <c r="D48">
        <v>6.0000000000000001E-3</v>
      </c>
      <c r="E48">
        <f t="shared" si="3"/>
        <v>0.35600000000000021</v>
      </c>
      <c r="U48">
        <v>46</v>
      </c>
      <c r="V48" s="2">
        <v>-0.52095440000000004</v>
      </c>
      <c r="W48" s="2">
        <v>698223700</v>
      </c>
      <c r="X48" t="s">
        <v>10</v>
      </c>
      <c r="Z48" s="2">
        <v>6.1799999999999998E-9</v>
      </c>
      <c r="AA48">
        <v>8.8999999999999996E-2</v>
      </c>
      <c r="AB48" s="2">
        <v>4.3779999999999997E-15</v>
      </c>
      <c r="AC48">
        <v>0.01</v>
      </c>
      <c r="AD48">
        <f t="shared" si="4"/>
        <v>0.37800000000000022</v>
      </c>
      <c r="AG48">
        <v>46</v>
      </c>
      <c r="AH48" s="2">
        <v>-0.54904660000000005</v>
      </c>
      <c r="AI48" s="2">
        <v>2.7394899999999998E-16</v>
      </c>
      <c r="AJ48">
        <v>1.4E-2</v>
      </c>
      <c r="AK48">
        <f t="shared" si="2"/>
        <v>0.39000000000000024</v>
      </c>
    </row>
    <row r="49" spans="1:37" x14ac:dyDescent="0.15">
      <c r="A49">
        <v>47</v>
      </c>
      <c r="B49" s="1">
        <v>-0.54861139999999997</v>
      </c>
      <c r="C49" s="2">
        <v>2.4461E-13</v>
      </c>
      <c r="D49">
        <v>6.0000000000000001E-3</v>
      </c>
      <c r="E49">
        <f t="shared" si="3"/>
        <v>0.36200000000000021</v>
      </c>
      <c r="U49">
        <v>47</v>
      </c>
      <c r="V49" s="2">
        <v>-0.52100080000000004</v>
      </c>
      <c r="W49" s="2">
        <v>691919700</v>
      </c>
      <c r="X49" t="s">
        <v>10</v>
      </c>
      <c r="Z49" s="2">
        <v>6.6569999999999997E-9</v>
      </c>
      <c r="AA49">
        <v>1</v>
      </c>
      <c r="AB49" s="2">
        <v>3.9979999999999999E-15</v>
      </c>
      <c r="AC49">
        <v>8.0000000000000002E-3</v>
      </c>
      <c r="AD49">
        <f t="shared" si="4"/>
        <v>0.38800000000000023</v>
      </c>
      <c r="AG49">
        <v>47</v>
      </c>
      <c r="AH49" s="2">
        <v>-0.54904660000000005</v>
      </c>
      <c r="AI49" s="2">
        <v>2.7394899999999998E-16</v>
      </c>
      <c r="AJ49">
        <v>1.4999999999999999E-2</v>
      </c>
      <c r="AK49">
        <f t="shared" si="2"/>
        <v>0.40400000000000025</v>
      </c>
    </row>
    <row r="50" spans="1:37" x14ac:dyDescent="0.15">
      <c r="A50">
        <v>48</v>
      </c>
      <c r="B50" s="1">
        <v>-0.54861139999999997</v>
      </c>
      <c r="C50" s="2">
        <v>1.3580489999999999E-13</v>
      </c>
      <c r="D50">
        <v>6.0000000000000001E-3</v>
      </c>
      <c r="E50">
        <f t="shared" si="3"/>
        <v>0.36800000000000022</v>
      </c>
      <c r="U50">
        <v>48</v>
      </c>
      <c r="V50" s="2">
        <v>-0.52181840000000002</v>
      </c>
      <c r="W50" s="2">
        <v>924044300</v>
      </c>
      <c r="X50" t="s">
        <v>10</v>
      </c>
      <c r="Z50" s="2">
        <v>4.606E-9</v>
      </c>
      <c r="AA50">
        <v>0.109</v>
      </c>
      <c r="AB50" s="2">
        <v>2.1040000000000001E-14</v>
      </c>
      <c r="AC50">
        <v>8.0000000000000002E-3</v>
      </c>
      <c r="AD50">
        <f t="shared" si="4"/>
        <v>0.39600000000000024</v>
      </c>
      <c r="AG50">
        <v>48</v>
      </c>
      <c r="AH50" s="2">
        <v>-0.54904660000000005</v>
      </c>
      <c r="AI50" s="2">
        <v>2.7394899999999998E-16</v>
      </c>
      <c r="AJ50">
        <v>1.4999999999999999E-2</v>
      </c>
      <c r="AK50">
        <f t="shared" si="2"/>
        <v>0.41900000000000026</v>
      </c>
    </row>
    <row r="51" spans="1:37" x14ac:dyDescent="0.15">
      <c r="E51">
        <f t="shared" si="3"/>
        <v>0.37400000000000022</v>
      </c>
      <c r="AD51">
        <f t="shared" si="4"/>
        <v>0.40400000000000025</v>
      </c>
      <c r="AK51">
        <f t="shared" si="2"/>
        <v>0.43400000000000027</v>
      </c>
    </row>
  </sheetData>
  <phoneticPr fontId="1" type="noConversion"/>
  <pageMargins left="0.75" right="0.75" top="1" bottom="1" header="0.5" footer="0.5"/>
  <pageSetup paperSize="9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zcy</dc:creator>
  <cp:lastModifiedBy>ROG</cp:lastModifiedBy>
  <dcterms:created xsi:type="dcterms:W3CDTF">2022-08-09T11:06:00Z</dcterms:created>
  <dcterms:modified xsi:type="dcterms:W3CDTF">2022-08-16T08:37:58Z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