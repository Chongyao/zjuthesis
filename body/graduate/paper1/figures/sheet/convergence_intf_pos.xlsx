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70" windowHeight="18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<sst xmlns="http://schemas.openxmlformats.org/spreadsheetml/2006/main" count="8" uniqueCount="4">
  <si>
    <t>m=2</t>
  </si>
  <si>
    <t>m=20</t>
  </si>
  <si>
    <t>m=100</t>
  </si>
  <si>
    <t>m=300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</si>
</sst>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6" borderId="0" applyNumberFormat="false" applyBorder="false" applyAlignment="false" applyProtection="false">
      <alignment vertical="center"/>
    </xf>
    <xf numFmtId="0" fontId="3" fillId="5" borderId="0" applyNumberFormat="false" applyBorder="false" applyAlignment="false" applyProtection="false">
      <alignment vertical="center"/>
    </xf>
    <xf numFmtId="0" fontId="1" fillId="31" borderId="0" applyNumberFormat="false" applyBorder="false" applyAlignment="false" applyProtection="false">
      <alignment vertical="center"/>
    </xf>
    <xf numFmtId="0" fontId="1" fillId="30" borderId="0" applyNumberFormat="false" applyBorder="false" applyAlignment="false" applyProtection="false">
      <alignment vertical="center"/>
    </xf>
    <xf numFmtId="0" fontId="3" fillId="20" borderId="0" applyNumberFormat="false" applyBorder="false" applyAlignment="false" applyProtection="false">
      <alignment vertical="center"/>
    </xf>
    <xf numFmtId="0" fontId="3" fillId="28" borderId="0" applyNumberFormat="false" applyBorder="false" applyAlignment="false" applyProtection="false">
      <alignment vertical="center"/>
    </xf>
    <xf numFmtId="0" fontId="1" fillId="13" borderId="0" applyNumberFormat="false" applyBorder="false" applyAlignment="false" applyProtection="false">
      <alignment vertical="center"/>
    </xf>
    <xf numFmtId="0" fontId="1" fillId="15" borderId="0" applyNumberFormat="false" applyBorder="false" applyAlignment="false" applyProtection="false">
      <alignment vertical="center"/>
    </xf>
    <xf numFmtId="0" fontId="3" fillId="26" borderId="0" applyNumberFormat="false" applyBorder="false" applyAlignment="false" applyProtection="false">
      <alignment vertical="center"/>
    </xf>
    <xf numFmtId="0" fontId="1" fillId="2" borderId="0" applyNumberFormat="false" applyBorder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3" fillId="22" borderId="0" applyNumberFormat="false" applyBorder="false" applyAlignment="false" applyProtection="false">
      <alignment vertical="center"/>
    </xf>
    <xf numFmtId="0" fontId="1" fillId="32" borderId="0" applyNumberFormat="false" applyBorder="false" applyAlignment="false" applyProtection="false">
      <alignment vertical="center"/>
    </xf>
    <xf numFmtId="0" fontId="1" fillId="27" borderId="0" applyNumberFormat="false" applyBorder="false" applyAlignment="false" applyProtection="false">
      <alignment vertical="center"/>
    </xf>
    <xf numFmtId="0" fontId="3" fillId="24" borderId="0" applyNumberFormat="false" applyBorder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0" fontId="1" fillId="12" borderId="0" applyNumberFormat="false" applyBorder="false" applyAlignment="false" applyProtection="false">
      <alignment vertical="center"/>
    </xf>
    <xf numFmtId="0" fontId="3" fillId="18" borderId="0" applyNumberFormat="false" applyBorder="false" applyAlignment="false" applyProtection="false">
      <alignment vertical="center"/>
    </xf>
    <xf numFmtId="0" fontId="3" fillId="19" borderId="0" applyNumberFormat="false" applyBorder="false" applyAlignment="false" applyProtection="false">
      <alignment vertical="center"/>
    </xf>
    <xf numFmtId="0" fontId="1" fillId="25" borderId="0" applyNumberFormat="false" applyBorder="false" applyAlignment="false" applyProtection="false">
      <alignment vertical="center"/>
    </xf>
    <xf numFmtId="0" fontId="18" fillId="29" borderId="0" applyNumberFormat="false" applyBorder="false" applyAlignment="false" applyProtection="false">
      <alignment vertical="center"/>
    </xf>
    <xf numFmtId="0" fontId="1" fillId="17" borderId="0" applyNumberFormat="false" applyBorder="false" applyAlignment="false" applyProtection="false">
      <alignment vertical="center"/>
    </xf>
    <xf numFmtId="0" fontId="13" fillId="16" borderId="0" applyNumberFormat="false" applyBorder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12" fillId="0" borderId="6" applyNumberFormat="false" applyFill="false" applyAlignment="false" applyProtection="false">
      <alignment vertical="center"/>
    </xf>
    <xf numFmtId="0" fontId="11" fillId="14" borderId="5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3" fillId="21" borderId="0" applyNumberFormat="false" applyBorder="false" applyAlignment="false" applyProtection="false">
      <alignment vertical="center"/>
    </xf>
    <xf numFmtId="0" fontId="0" fillId="7" borderId="3" applyNumberFormat="false" applyFont="false" applyAlignment="false" applyProtection="false">
      <alignment vertical="center"/>
    </xf>
    <xf numFmtId="0" fontId="9" fillId="11" borderId="4" applyNumberFormat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7" fillId="14" borderId="4" applyNumberFormat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5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3" fillId="9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4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" fillId="4" borderId="1" applyNumberFormat="false" applyAlignment="false" applyProtection="false">
      <alignment vertical="center"/>
    </xf>
    <xf numFmtId="0" fontId="1" fillId="3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true">
      <alignment horizontal="center" vertical="center"/>
    </xf>
    <xf numFmtId="11" fontId="0" fillId="0" borderId="0" xfId="0" applyNumberFormat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 sz="2000"/>
              <a:t>Convergence Plot</a:t>
            </a:r>
            <a:endParaRPr lang="" altLang="en-US" sz="2000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Sheet1!$E$1</c:f>
              <c:strCache>
                <c:ptCount val="1"/>
                <c:pt idx="0">
                  <c:v>m=2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Sheet1!$E$2:$E$11</c:f>
              <c:numCache>
                <c:formatCode>General</c:formatCode>
                <c:ptCount val="10"/>
                <c:pt idx="0">
                  <c:v>-0.577246058698652</c:v>
                </c:pt>
                <c:pt idx="1">
                  <c:v>-1.90868484030278</c:v>
                </c:pt>
                <c:pt idx="2">
                  <c:v>-2.5855280503707</c:v>
                </c:pt>
                <c:pt idx="3">
                  <c:v>-2.43332686239388</c:v>
                </c:pt>
                <c:pt idx="4">
                  <c:v>-3.06033101647767</c:v>
                </c:pt>
                <c:pt idx="5">
                  <c:v>-3.14327110961712</c:v>
                </c:pt>
                <c:pt idx="6">
                  <c:v>-3.35565990117368</c:v>
                </c:pt>
                <c:pt idx="7">
                  <c:v>-3.22163165664413</c:v>
                </c:pt>
                <c:pt idx="8">
                  <c:v>-3.45234834164003</c:v>
                </c:pt>
                <c:pt idx="9">
                  <c:v>-3.59328954139021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m=20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Sheet1!$F$2:$F$11</c:f>
              <c:numCache>
                <c:formatCode>General</c:formatCode>
                <c:ptCount val="10"/>
                <c:pt idx="0">
                  <c:v>-0.330776126069194</c:v>
                </c:pt>
                <c:pt idx="1">
                  <c:v>-0.705093089394808</c:v>
                </c:pt>
                <c:pt idx="2">
                  <c:v>-0.774174008538107</c:v>
                </c:pt>
                <c:pt idx="3">
                  <c:v>-1.16723569505947</c:v>
                </c:pt>
                <c:pt idx="4">
                  <c:v>-1.53017798402184</c:v>
                </c:pt>
                <c:pt idx="5">
                  <c:v>-1.3392293564723</c:v>
                </c:pt>
                <c:pt idx="6">
                  <c:v>-1.49471432585587</c:v>
                </c:pt>
                <c:pt idx="7">
                  <c:v>-1.46533942417156</c:v>
                </c:pt>
                <c:pt idx="8">
                  <c:v>-1.49106647394997</c:v>
                </c:pt>
                <c:pt idx="9">
                  <c:v>-1.46813805090419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m=100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Sheet1!$G$2:$G$11</c:f>
              <c:numCache>
                <c:formatCode>General</c:formatCode>
                <c:ptCount val="10"/>
                <c:pt idx="0">
                  <c:v>-0.298345682674252</c:v>
                </c:pt>
                <c:pt idx="1">
                  <c:v>-0.719194071606333</c:v>
                </c:pt>
                <c:pt idx="2">
                  <c:v>-0.735654492949908</c:v>
                </c:pt>
                <c:pt idx="3">
                  <c:v>-1.1444808443322</c:v>
                </c:pt>
                <c:pt idx="4">
                  <c:v>-1.39902710431325</c:v>
                </c:pt>
                <c:pt idx="5">
                  <c:v>-1.15820270112564</c:v>
                </c:pt>
                <c:pt idx="6">
                  <c:v>-1.32239304727951</c:v>
                </c:pt>
                <c:pt idx="7">
                  <c:v>-1.23972833945794</c:v>
                </c:pt>
                <c:pt idx="8">
                  <c:v>-1.28760286859329</c:v>
                </c:pt>
                <c:pt idx="9">
                  <c:v>-1.24382048315619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m=300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Sheet1!$H$2:$H$11</c:f>
              <c:numCache>
                <c:formatCode>General</c:formatCode>
                <c:ptCount val="10"/>
                <c:pt idx="0">
                  <c:v>-0.291154361951821</c:v>
                </c:pt>
                <c:pt idx="1">
                  <c:v>-0.19375217280421</c:v>
                </c:pt>
                <c:pt idx="2">
                  <c:v>-0.124186611160242</c:v>
                </c:pt>
                <c:pt idx="3">
                  <c:v>-0.444905551421681</c:v>
                </c:pt>
                <c:pt idx="4">
                  <c:v>-0.85294232897164</c:v>
                </c:pt>
                <c:pt idx="5">
                  <c:v>-0.562407967746039</c:v>
                </c:pt>
                <c:pt idx="6">
                  <c:v>-0.763714722551971</c:v>
                </c:pt>
                <c:pt idx="7">
                  <c:v>-0.619065536669298</c:v>
                </c:pt>
                <c:pt idx="8">
                  <c:v>-0.707743928643524</c:v>
                </c:pt>
                <c:pt idx="9">
                  <c:v>-0.636012170251509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835604249"/>
        <c:axId val="612799438"/>
      </c:lineChart>
      <c:catAx>
        <c:axId val="835604249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2000"/>
                  <a:t>Iteration</a:t>
                </a:r>
                <a:endParaRPr lang="" altLang="en-US" sz="2000"/>
              </a:p>
            </c:rich>
          </c:tx>
          <c:layout>
            <c:manualLayout>
              <c:xMode val="edge"/>
              <c:yMode val="edge"/>
              <c:x val="0.443203578167587"/>
              <c:y val="0.837875172673615"/>
            </c:manualLayout>
          </c:layout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799438"/>
        <c:crosses val="autoZero"/>
        <c:auto val="true"/>
        <c:lblAlgn val="ctr"/>
        <c:lblOffset val="100"/>
        <c:noMultiLvlLbl val="false"/>
      </c:catAx>
      <c:valAx>
        <c:axId val="61279943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2000"/>
                  <a:t>LOG10 Of Gradient Norm</a:t>
                </a:r>
                <a:endParaRPr lang="" altLang="en-US" sz="20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6042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true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true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true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true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469900</xdr:colOff>
      <xdr:row>20</xdr:row>
      <xdr:rowOff>177800</xdr:rowOff>
    </xdr:from>
    <xdr:to>
      <xdr:col>17</xdr:col>
      <xdr:colOff>716915</xdr:colOff>
      <xdr:row>46</xdr:row>
      <xdr:rowOff>33655</xdr:rowOff>
    </xdr:to>
    <xdr:graphicFrame>
      <xdr:nvGraphicFramePr>
        <xdr:cNvPr id="4" name="Chart 3"/>
        <xdr:cNvGraphicFramePr/>
      </xdr:nvGraphicFramePr>
      <xdr:xfrm>
        <a:off x="7708900" y="4178300"/>
        <a:ext cx="9086215" cy="5056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L16" sqref="L16"/>
    </sheetView>
  </sheetViews>
  <sheetFormatPr defaultColWidth="8.8" defaultRowHeight="15.75" outlineLevelCol="7"/>
  <cols>
    <col min="5" max="8" width="13.6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>
      <c r="A2" s="2">
        <v>0.2647</v>
      </c>
      <c r="B2" s="2">
        <v>0.4669</v>
      </c>
      <c r="C2" s="2">
        <v>0.5031</v>
      </c>
      <c r="D2" s="2">
        <v>0.5115</v>
      </c>
      <c r="E2">
        <f>LOG10(A2)</f>
        <v>-0.577246058698652</v>
      </c>
      <c r="F2">
        <f>LOG10(B2)</f>
        <v>-0.330776126069194</v>
      </c>
      <c r="G2">
        <f>LOG10(C2)</f>
        <v>-0.298345682674252</v>
      </c>
      <c r="H2">
        <f>LOG10(D2)</f>
        <v>-0.291154361951821</v>
      </c>
    </row>
    <row r="3" spans="1:8">
      <c r="A3" s="2">
        <v>0.01234</v>
      </c>
      <c r="B3" s="2">
        <v>0.1972</v>
      </c>
      <c r="C3" s="2">
        <v>0.1909</v>
      </c>
      <c r="D3" s="2">
        <v>0.6401</v>
      </c>
      <c r="E3">
        <f t="shared" ref="E3:E11" si="0">LOG10(A3)</f>
        <v>-1.90868484030278</v>
      </c>
      <c r="F3">
        <f t="shared" ref="F3:F11" si="1">LOG10(B3)</f>
        <v>-0.705093089394808</v>
      </c>
      <c r="G3">
        <f>LOG10(C3)</f>
        <v>-0.719194071606333</v>
      </c>
      <c r="H3">
        <f>LOG10(D3)</f>
        <v>-0.19375217280421</v>
      </c>
    </row>
    <row r="4" spans="1:8">
      <c r="A4" s="2">
        <v>0.002597</v>
      </c>
      <c r="B4" s="2">
        <v>0.1682</v>
      </c>
      <c r="C4" s="2">
        <v>0.1838</v>
      </c>
      <c r="D4" s="2">
        <v>0.7513</v>
      </c>
      <c r="E4">
        <f t="shared" si="0"/>
        <v>-2.5855280503707</v>
      </c>
      <c r="F4">
        <f t="shared" si="1"/>
        <v>-0.774174008538107</v>
      </c>
      <c r="G4">
        <f>LOG10(C4)</f>
        <v>-0.735654492949908</v>
      </c>
      <c r="H4">
        <f>LOG10(D4)</f>
        <v>-0.124186611160242</v>
      </c>
    </row>
    <row r="5" spans="1:8">
      <c r="A5" s="2">
        <v>0.003687</v>
      </c>
      <c r="B5" s="2">
        <v>0.06804</v>
      </c>
      <c r="C5" s="2">
        <v>0.0717</v>
      </c>
      <c r="D5" s="2">
        <v>0.359</v>
      </c>
      <c r="E5">
        <f t="shared" si="0"/>
        <v>-2.43332686239388</v>
      </c>
      <c r="F5">
        <f t="shared" si="1"/>
        <v>-1.16723569505947</v>
      </c>
      <c r="G5">
        <f>LOG10(C5)</f>
        <v>-1.1444808443322</v>
      </c>
      <c r="H5">
        <f>LOG10(D5)</f>
        <v>-0.444905551421681</v>
      </c>
    </row>
    <row r="6" spans="1:8">
      <c r="A6" s="2">
        <v>0.0008703</v>
      </c>
      <c r="B6" s="2">
        <v>0.0295</v>
      </c>
      <c r="C6" s="2">
        <v>0.0399</v>
      </c>
      <c r="D6" s="2">
        <v>0.1403</v>
      </c>
      <c r="E6">
        <f t="shared" si="0"/>
        <v>-3.06033101647767</v>
      </c>
      <c r="F6">
        <f t="shared" si="1"/>
        <v>-1.53017798402184</v>
      </c>
      <c r="G6">
        <f>LOG10(C6)</f>
        <v>-1.39902710431325</v>
      </c>
      <c r="H6">
        <f>LOG10(D6)</f>
        <v>-0.85294232897164</v>
      </c>
    </row>
    <row r="7" spans="1:8">
      <c r="A7" s="2">
        <v>0.000719</v>
      </c>
      <c r="B7" s="2">
        <v>0.04579</v>
      </c>
      <c r="C7" s="2">
        <v>0.06947</v>
      </c>
      <c r="D7" s="2">
        <v>0.2739</v>
      </c>
      <c r="E7">
        <f t="shared" si="0"/>
        <v>-3.14327110961712</v>
      </c>
      <c r="F7">
        <f t="shared" si="1"/>
        <v>-1.3392293564723</v>
      </c>
      <c r="G7">
        <f>LOG10(C7)</f>
        <v>-1.15820270112564</v>
      </c>
      <c r="H7">
        <f>LOG10(D7)</f>
        <v>-0.562407967746039</v>
      </c>
    </row>
    <row r="8" spans="1:8">
      <c r="A8" s="2">
        <v>0.0004409</v>
      </c>
      <c r="B8" s="2">
        <v>0.03201</v>
      </c>
      <c r="C8" s="2">
        <v>0.0476</v>
      </c>
      <c r="D8" s="2">
        <v>0.1723</v>
      </c>
      <c r="E8">
        <f t="shared" si="0"/>
        <v>-3.35565990117368</v>
      </c>
      <c r="F8">
        <f t="shared" si="1"/>
        <v>-1.49471432585587</v>
      </c>
      <c r="G8">
        <f>LOG10(C8)</f>
        <v>-1.32239304727951</v>
      </c>
      <c r="H8">
        <f>LOG10(D8)</f>
        <v>-0.763714722551971</v>
      </c>
    </row>
    <row r="9" spans="1:8">
      <c r="A9" s="2">
        <v>0.0006003</v>
      </c>
      <c r="B9" s="2">
        <v>0.03425</v>
      </c>
      <c r="C9" s="2">
        <v>0.05758</v>
      </c>
      <c r="D9" s="2">
        <v>0.2404</v>
      </c>
      <c r="E9">
        <f t="shared" si="0"/>
        <v>-3.22163165664413</v>
      </c>
      <c r="F9">
        <f t="shared" si="1"/>
        <v>-1.46533942417156</v>
      </c>
      <c r="G9">
        <f>LOG10(C9)</f>
        <v>-1.23972833945794</v>
      </c>
      <c r="H9">
        <f>LOG10(D9)</f>
        <v>-0.619065536669298</v>
      </c>
    </row>
    <row r="10" spans="1:8">
      <c r="A10" s="2">
        <v>0.0003529</v>
      </c>
      <c r="B10" s="2">
        <v>0.03228</v>
      </c>
      <c r="C10" s="2">
        <v>0.05157</v>
      </c>
      <c r="D10" s="2">
        <v>0.196</v>
      </c>
      <c r="E10">
        <f t="shared" si="0"/>
        <v>-3.45234834164003</v>
      </c>
      <c r="F10">
        <f t="shared" si="1"/>
        <v>-1.49106647394997</v>
      </c>
      <c r="G10">
        <f>LOG10(C10)</f>
        <v>-1.28760286859329</v>
      </c>
      <c r="H10">
        <f>LOG10(D10)</f>
        <v>-0.707743928643524</v>
      </c>
    </row>
    <row r="11" spans="1:8">
      <c r="A11" s="2">
        <v>0.0002551</v>
      </c>
      <c r="B11" s="2">
        <v>0.03403</v>
      </c>
      <c r="C11" s="2">
        <v>0.05704</v>
      </c>
      <c r="D11" s="2">
        <v>0.2312</v>
      </c>
      <c r="E11">
        <f t="shared" si="0"/>
        <v>-3.59328954139021</v>
      </c>
      <c r="F11">
        <f t="shared" si="1"/>
        <v>-1.46813805090419</v>
      </c>
      <c r="G11">
        <f>LOG10(C11)</f>
        <v>-1.24382048315619</v>
      </c>
      <c r="H11">
        <f>LOG10(D11)</f>
        <v>-0.636012170251509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zcy</cp:lastModifiedBy>
  <dcterms:created xsi:type="dcterms:W3CDTF">2022-05-06T16:47:37Z</dcterms:created>
  <dcterms:modified xsi:type="dcterms:W3CDTF">2022-05-07T09:53:32Z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